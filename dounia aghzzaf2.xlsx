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ghaz\OneDrive\Desktop\douniaaa\"/>
    </mc:Choice>
  </mc:AlternateContent>
  <xr:revisionPtr revIDLastSave="0" documentId="13_ncr:1_{BF7F2886-6A0C-4737-AC9C-E7CE2D6C2EA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end" sheetId="2" r:id="rId1"/>
    <sheet name="frontend" sheetId="3" r:id="rId2"/>
    <sheet name="Assurances_Auto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1" i="1" l="1"/>
  <c r="T2" i="1"/>
  <c r="S2" i="1"/>
  <c r="N2" i="1"/>
  <c r="O2" i="1" s="1"/>
  <c r="P2" i="1" s="1"/>
  <c r="Q2" i="1" s="1"/>
  <c r="N3" i="1"/>
  <c r="O3" i="1" s="1"/>
  <c r="P3" i="1" s="1"/>
  <c r="N4" i="1"/>
  <c r="O4" i="1" s="1"/>
  <c r="P4" i="1" s="1"/>
  <c r="N5" i="1"/>
  <c r="O5" i="1" s="1"/>
  <c r="P5" i="1" s="1"/>
  <c r="Q5" i="1" s="1"/>
  <c r="N6" i="1"/>
  <c r="O6" i="1" s="1"/>
  <c r="P6" i="1" s="1"/>
  <c r="Q6" i="1" s="1"/>
  <c r="N7" i="1"/>
  <c r="O7" i="1" s="1"/>
  <c r="P7" i="1" s="1"/>
  <c r="Q7" i="1" s="1"/>
  <c r="N8" i="1"/>
  <c r="O8" i="1" s="1"/>
  <c r="P8" i="1" s="1"/>
  <c r="Q8" i="1" s="1"/>
  <c r="N9" i="1"/>
  <c r="O9" i="1" s="1"/>
  <c r="P9" i="1" s="1"/>
  <c r="Q9" i="1" s="1"/>
  <c r="N10" i="1"/>
  <c r="O10" i="1" s="1"/>
  <c r="P10" i="1" s="1"/>
  <c r="Q10" i="1" s="1"/>
  <c r="N11" i="1"/>
  <c r="N12" i="1"/>
  <c r="N13" i="1"/>
  <c r="O13" i="1" s="1"/>
  <c r="P13" i="1" s="1"/>
  <c r="Q13" i="1" s="1"/>
  <c r="N14" i="1"/>
  <c r="O14" i="1" s="1"/>
  <c r="P14" i="1" s="1"/>
  <c r="N15" i="1"/>
  <c r="O15" i="1" s="1"/>
  <c r="P15" i="1" s="1"/>
  <c r="N16" i="1"/>
  <c r="O16" i="1" s="1"/>
  <c r="P16" i="1" s="1"/>
  <c r="Q16" i="1" s="1"/>
  <c r="N17" i="1"/>
  <c r="O17" i="1" s="1"/>
  <c r="P17" i="1" s="1"/>
  <c r="N18" i="1"/>
  <c r="O18" i="1" s="1"/>
  <c r="P18" i="1" s="1"/>
  <c r="Q18" i="1" s="1"/>
  <c r="N19" i="1"/>
  <c r="N20" i="1"/>
  <c r="O20" i="1" s="1"/>
  <c r="P20" i="1" s="1"/>
  <c r="Q20" i="1" s="1"/>
  <c r="N21" i="1"/>
  <c r="O21" i="1" s="1"/>
  <c r="P21" i="1" s="1"/>
  <c r="Q21" i="1" s="1"/>
  <c r="N22" i="1"/>
  <c r="O22" i="1" s="1"/>
  <c r="P22" i="1" s="1"/>
  <c r="Q22" i="1" s="1"/>
  <c r="N23" i="1"/>
  <c r="O23" i="1" s="1"/>
  <c r="P23" i="1" s="1"/>
  <c r="Q23" i="1" s="1"/>
  <c r="N24" i="1"/>
  <c r="O24" i="1" s="1"/>
  <c r="P24" i="1" s="1"/>
  <c r="Q24" i="1" s="1"/>
  <c r="N25" i="1"/>
  <c r="O25" i="1" s="1"/>
  <c r="P25" i="1" s="1"/>
  <c r="Q25" i="1" s="1"/>
  <c r="N26" i="1"/>
  <c r="O26" i="1" s="1"/>
  <c r="P26" i="1" s="1"/>
  <c r="Q26" i="1" s="1"/>
  <c r="N27" i="1"/>
  <c r="O27" i="1" s="1"/>
  <c r="P27" i="1" s="1"/>
  <c r="N28" i="1"/>
  <c r="O28" i="1" s="1"/>
  <c r="P28" i="1" s="1"/>
  <c r="Q28" i="1" s="1"/>
  <c r="N29" i="1"/>
  <c r="O29" i="1" s="1"/>
  <c r="P29" i="1" s="1"/>
  <c r="Q29" i="1" s="1"/>
  <c r="N30" i="1"/>
  <c r="O30" i="1" s="1"/>
  <c r="P30" i="1" s="1"/>
  <c r="Q30" i="1" s="1"/>
  <c r="N31" i="1"/>
  <c r="O31" i="1" s="1"/>
  <c r="P31" i="1" s="1"/>
  <c r="Q31" i="1" s="1"/>
  <c r="N32" i="1"/>
  <c r="O32" i="1" s="1"/>
  <c r="P32" i="1" s="1"/>
  <c r="Q32" i="1" s="1"/>
  <c r="N33" i="1"/>
  <c r="O33" i="1" s="1"/>
  <c r="P33" i="1" s="1"/>
  <c r="Q33" i="1" s="1"/>
  <c r="N34" i="1"/>
  <c r="O34" i="1" s="1"/>
  <c r="P34" i="1" s="1"/>
  <c r="Q34" i="1" s="1"/>
  <c r="N35" i="1"/>
  <c r="O35" i="1" s="1"/>
  <c r="P35" i="1" s="1"/>
  <c r="Q35" i="1" s="1"/>
  <c r="N36" i="1"/>
  <c r="O36" i="1" s="1"/>
  <c r="P36" i="1" s="1"/>
  <c r="Q36" i="1" s="1"/>
  <c r="N37" i="1"/>
  <c r="O37" i="1" s="1"/>
  <c r="P37" i="1" s="1"/>
  <c r="N38" i="1"/>
  <c r="O38" i="1" s="1"/>
  <c r="P38" i="1" s="1"/>
  <c r="Q38" i="1" s="1"/>
  <c r="N39" i="1"/>
  <c r="O39" i="1" s="1"/>
  <c r="P39" i="1" s="1"/>
  <c r="Q39" i="1" s="1"/>
  <c r="N40" i="1"/>
  <c r="O40" i="1" s="1"/>
  <c r="P40" i="1" s="1"/>
  <c r="Q40" i="1" s="1"/>
  <c r="N41" i="1"/>
  <c r="O41" i="1" s="1"/>
  <c r="P41" i="1" s="1"/>
  <c r="Q41" i="1" s="1"/>
  <c r="O11" i="1"/>
  <c r="P11" i="1" s="1"/>
  <c r="Q11" i="1" s="1"/>
  <c r="O12" i="1"/>
  <c r="P12" i="1" s="1"/>
  <c r="Q12" i="1" s="1"/>
  <c r="O19" i="1"/>
  <c r="P19" i="1" s="1"/>
  <c r="Q19" i="1" s="1"/>
  <c r="Q4" i="1" l="1"/>
  <c r="U12" i="1"/>
  <c r="Q3" i="1"/>
  <c r="U2" i="1"/>
  <c r="V2" i="1"/>
  <c r="Q15" i="1"/>
  <c r="R15" i="1"/>
  <c r="Q27" i="1"/>
  <c r="R27" i="1"/>
  <c r="R26" i="1"/>
  <c r="Q14" i="1"/>
  <c r="R14" i="1"/>
  <c r="Q37" i="1"/>
  <c r="R37" i="1"/>
  <c r="Q17" i="1"/>
  <c r="R17" i="1"/>
  <c r="R18" i="1"/>
  <c r="R41" i="1"/>
  <c r="R33" i="1"/>
  <c r="R25" i="1"/>
  <c r="R9" i="1"/>
  <c r="R10" i="1"/>
  <c r="R40" i="1"/>
  <c r="R32" i="1"/>
  <c r="R24" i="1"/>
  <c r="R16" i="1"/>
  <c r="R8" i="1"/>
  <c r="R39" i="1"/>
  <c r="R31" i="1"/>
  <c r="R23" i="1"/>
  <c r="R7" i="1"/>
  <c r="R2" i="1"/>
  <c r="R38" i="1"/>
  <c r="R30" i="1"/>
  <c r="R22" i="1"/>
  <c r="R6" i="1"/>
  <c r="R34" i="1"/>
  <c r="R29" i="1"/>
  <c r="R21" i="1"/>
  <c r="R13" i="1"/>
  <c r="R5" i="1"/>
  <c r="R36" i="1"/>
  <c r="R28" i="1"/>
  <c r="R20" i="1"/>
  <c r="R12" i="1"/>
  <c r="R4" i="1"/>
  <c r="R35" i="1"/>
  <c r="R19" i="1"/>
  <c r="R11" i="1"/>
  <c r="R3" i="1"/>
</calcChain>
</file>

<file path=xl/sharedStrings.xml><?xml version="1.0" encoding="utf-8"?>
<sst xmlns="http://schemas.openxmlformats.org/spreadsheetml/2006/main" count="349" uniqueCount="174">
  <si>
    <t>ID_Client</t>
  </si>
  <si>
    <t>Nom</t>
  </si>
  <si>
    <t>Prénom</t>
  </si>
  <si>
    <t>CIN</t>
  </si>
  <si>
    <t>Ville</t>
  </si>
  <si>
    <t>Type_Vehicule</t>
  </si>
  <si>
    <t>Marque</t>
  </si>
  <si>
    <t>Année_Vehicule</t>
  </si>
  <si>
    <t>Valeur_Vehicule</t>
  </si>
  <si>
    <t>Type_Assurance</t>
  </si>
  <si>
    <t>Date_Souscription</t>
  </si>
  <si>
    <t>Durée</t>
  </si>
  <si>
    <t>Prime_Base</t>
  </si>
  <si>
    <t>Taux_Risque</t>
  </si>
  <si>
    <t>Montant_Risque</t>
  </si>
  <si>
    <t>Prime_Totale</t>
  </si>
  <si>
    <t>Statut_Client</t>
  </si>
  <si>
    <t>El Amrani</t>
  </si>
  <si>
    <t>Youssef</t>
  </si>
  <si>
    <t>AB00001</t>
  </si>
  <si>
    <t>Ouarzazate</t>
  </si>
  <si>
    <t>Moto</t>
  </si>
  <si>
    <t>Renault</t>
  </si>
  <si>
    <t>Tiers+</t>
  </si>
  <si>
    <t>Ait Lahcen</t>
  </si>
  <si>
    <t>Fatima</t>
  </si>
  <si>
    <t>AB00002</t>
  </si>
  <si>
    <t>Camion</t>
  </si>
  <si>
    <t>Toyota</t>
  </si>
  <si>
    <t>Tous Risques</t>
  </si>
  <si>
    <t>Benali</t>
  </si>
  <si>
    <t>Ahmed</t>
  </si>
  <si>
    <t>AB00003</t>
  </si>
  <si>
    <t>Marrakech</t>
  </si>
  <si>
    <t>Voiture</t>
  </si>
  <si>
    <t>Hyundai</t>
  </si>
  <si>
    <t>Tiers</t>
  </si>
  <si>
    <t>El Idrissi</t>
  </si>
  <si>
    <t>Salma</t>
  </si>
  <si>
    <t>AB00004</t>
  </si>
  <si>
    <t>Rabat</t>
  </si>
  <si>
    <t>Ford</t>
  </si>
  <si>
    <t>Chraibi</t>
  </si>
  <si>
    <t>Mohamed</t>
  </si>
  <si>
    <t>AB00005</t>
  </si>
  <si>
    <t>Casablanca</t>
  </si>
  <si>
    <t>Peugeot</t>
  </si>
  <si>
    <t>Tahiri</t>
  </si>
  <si>
    <t>Khadija</t>
  </si>
  <si>
    <t>AB00006</t>
  </si>
  <si>
    <t>Agadir</t>
  </si>
  <si>
    <t>Dacia</t>
  </si>
  <si>
    <t>Bennani</t>
  </si>
  <si>
    <t>Omar</t>
  </si>
  <si>
    <t>AB00007</t>
  </si>
  <si>
    <t>El Fassi</t>
  </si>
  <si>
    <t>Imane</t>
  </si>
  <si>
    <t>AB00008</t>
  </si>
  <si>
    <t>Fes</t>
  </si>
  <si>
    <t>Alaoui</t>
  </si>
  <si>
    <t>Hassan</t>
  </si>
  <si>
    <t>AB00009</t>
  </si>
  <si>
    <t>Zerouali</t>
  </si>
  <si>
    <t>Nadia</t>
  </si>
  <si>
    <t>AB00010</t>
  </si>
  <si>
    <t>Skalli</t>
  </si>
  <si>
    <t>Abdelilah</t>
  </si>
  <si>
    <t>AB00011</t>
  </si>
  <si>
    <t>Raji</t>
  </si>
  <si>
    <t>Siham</t>
  </si>
  <si>
    <t>AB00012</t>
  </si>
  <si>
    <t>Ouahbi</t>
  </si>
  <si>
    <t>Anas</t>
  </si>
  <si>
    <t>AB00013</t>
  </si>
  <si>
    <t>Amine</t>
  </si>
  <si>
    <t>Soukaina</t>
  </si>
  <si>
    <t>AB00014</t>
  </si>
  <si>
    <t>Mouline</t>
  </si>
  <si>
    <t>Rachid</t>
  </si>
  <si>
    <t>AB00015</t>
  </si>
  <si>
    <t>Lahlou</t>
  </si>
  <si>
    <t>Sara</t>
  </si>
  <si>
    <t>AB00016</t>
  </si>
  <si>
    <t>Kabbaj</t>
  </si>
  <si>
    <t>Yassine</t>
  </si>
  <si>
    <t>AB00017</t>
  </si>
  <si>
    <t>Bouzidi</t>
  </si>
  <si>
    <t>Amina</t>
  </si>
  <si>
    <t>AB00018</t>
  </si>
  <si>
    <t>El Mansouri</t>
  </si>
  <si>
    <t>Karim</t>
  </si>
  <si>
    <t>AB00019</t>
  </si>
  <si>
    <t>Haddad</t>
  </si>
  <si>
    <t>Latifa</t>
  </si>
  <si>
    <t>AB00020</t>
  </si>
  <si>
    <t>Berrada</t>
  </si>
  <si>
    <t>Ayoub</t>
  </si>
  <si>
    <t>AB00021</t>
  </si>
  <si>
    <t>Sbaai</t>
  </si>
  <si>
    <t>Hanane</t>
  </si>
  <si>
    <t>AB00022</t>
  </si>
  <si>
    <t>Ghazali</t>
  </si>
  <si>
    <t>Mehdi</t>
  </si>
  <si>
    <t>AB00023</t>
  </si>
  <si>
    <t>Benkirane</t>
  </si>
  <si>
    <t>Samir</t>
  </si>
  <si>
    <t>AB00024</t>
  </si>
  <si>
    <t>El Khatib</t>
  </si>
  <si>
    <t>Meriem</t>
  </si>
  <si>
    <t>AB00025</t>
  </si>
  <si>
    <t>Azizi</t>
  </si>
  <si>
    <t>Hamza</t>
  </si>
  <si>
    <t>AB00026</t>
  </si>
  <si>
    <t>Raiss</t>
  </si>
  <si>
    <t>Nour</t>
  </si>
  <si>
    <t>AB00027</t>
  </si>
  <si>
    <t>Fadili</t>
  </si>
  <si>
    <t>Abdelkader</t>
  </si>
  <si>
    <t>AB00028</t>
  </si>
  <si>
    <t>Kouhen</t>
  </si>
  <si>
    <t>Lina</t>
  </si>
  <si>
    <t>AB00029</t>
  </si>
  <si>
    <t>Smires</t>
  </si>
  <si>
    <t>Younes</t>
  </si>
  <si>
    <t>AB00030</t>
  </si>
  <si>
    <t>Bounou</t>
  </si>
  <si>
    <t>Ikram</t>
  </si>
  <si>
    <t>AB00031</t>
  </si>
  <si>
    <t>El Hachimi</t>
  </si>
  <si>
    <t>Said</t>
  </si>
  <si>
    <t>AB00032</t>
  </si>
  <si>
    <t>Zayani</t>
  </si>
  <si>
    <t>Rania</t>
  </si>
  <si>
    <t>AB00033</t>
  </si>
  <si>
    <t>Belaid</t>
  </si>
  <si>
    <t>Yassir</t>
  </si>
  <si>
    <t>AB00034</t>
  </si>
  <si>
    <t>Ouhmid</t>
  </si>
  <si>
    <t>Malika</t>
  </si>
  <si>
    <t>AB00035</t>
  </si>
  <si>
    <t>Hami</t>
  </si>
  <si>
    <t>Reda</t>
  </si>
  <si>
    <t>AB00036</t>
  </si>
  <si>
    <t>El Mouden</t>
  </si>
  <si>
    <t>Jamal</t>
  </si>
  <si>
    <t>AB00037</t>
  </si>
  <si>
    <t>Karrouchi</t>
  </si>
  <si>
    <t>Ilham</t>
  </si>
  <si>
    <t>AB00038</t>
  </si>
  <si>
    <t>Benchekroun</t>
  </si>
  <si>
    <t>Adil</t>
  </si>
  <si>
    <t>AB00039</t>
  </si>
  <si>
    <t>Ait Brahim</t>
  </si>
  <si>
    <t>Naima</t>
  </si>
  <si>
    <t>AB00040</t>
  </si>
  <si>
    <t>nb_contrat</t>
  </si>
  <si>
    <t>nb_voiture</t>
  </si>
  <si>
    <t>clasmment</t>
  </si>
  <si>
    <t>Total primes – Ouarzazate</t>
  </si>
  <si>
    <t>Total primes – Camion</t>
  </si>
  <si>
    <t>ID</t>
  </si>
  <si>
    <t>nom</t>
  </si>
  <si>
    <t>prime_total</t>
  </si>
  <si>
    <t>Étiquettes de lignes</t>
  </si>
  <si>
    <t>(vide)</t>
  </si>
  <si>
    <t>Total général</t>
  </si>
  <si>
    <t>Somme de Prime_Totale</t>
  </si>
  <si>
    <t>Nombre de ID_Client</t>
  </si>
  <si>
    <t>Moyenne de Prime_Totale</t>
  </si>
  <si>
    <t>VIP</t>
  </si>
  <si>
    <t>Premium</t>
  </si>
  <si>
    <t>Nombre de Nom</t>
  </si>
  <si>
    <t>Nombre de Prénom</t>
  </si>
  <si>
    <t>janv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</si>
</sst>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1" fillId="4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pivotButton="1"/>
    <xf numFmtId="0" fontId="0" fillId="0" borderId="0" xfId="0" applyNumberFormat="1"/>
    <xf numFmtId="0" fontId="2" fillId="3" borderId="1" xfId="1" applyBorder="1" applyAlignment="1">
      <alignment horizontal="center" vertical="center"/>
    </xf>
    <xf numFmtId="0" fontId="2" fillId="3" borderId="1" xfId="1" applyBorder="1" applyAlignment="1">
      <alignment horizontal="left" vertical="center"/>
    </xf>
    <xf numFmtId="0" fontId="2" fillId="3" borderId="1" xfId="1" applyBorder="1" applyAlignment="1">
      <alignment horizontal="center"/>
    </xf>
    <xf numFmtId="0" fontId="2" fillId="3" borderId="0" xfId="1"/>
    <xf numFmtId="0" fontId="1" fillId="4" borderId="1" xfId="2" applyBorder="1" applyAlignment="1">
      <alignment horizontal="center"/>
    </xf>
    <xf numFmtId="0" fontId="1" fillId="4" borderId="1" xfId="2" applyBorder="1" applyAlignment="1">
      <alignment horizontal="left"/>
    </xf>
    <xf numFmtId="164" fontId="1" fillId="4" borderId="1" xfId="2" applyNumberFormat="1" applyBorder="1" applyAlignment="1">
      <alignment horizontal="center"/>
    </xf>
    <xf numFmtId="9" fontId="1" fillId="4" borderId="1" xfId="2" applyNumberFormat="1" applyBorder="1" applyAlignment="1">
      <alignment horizontal="center"/>
    </xf>
    <xf numFmtId="0" fontId="1" fillId="4" borderId="1" xfId="2" applyBorder="1"/>
    <xf numFmtId="0" fontId="1" fillId="4" borderId="0" xfId="2"/>
    <xf numFmtId="0" fontId="0" fillId="5" borderId="0" xfId="0" applyFill="1"/>
    <xf numFmtId="0" fontId="0" fillId="6" borderId="0" xfId="0" applyFill="1" applyAlignment="1">
      <alignment horizontal="center"/>
    </xf>
  </cellXfs>
  <cellStyles count="3">
    <cellStyle name="20 % - Accent2" xfId="2" builtinId="34"/>
    <cellStyle name="Accent2" xfId="1" builtinId="3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[dounia aghzzaf2.xlsx]backend!Tableau croisé dynamique1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des primes par Type_Assurance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backend!$B$3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0AF-4B78-AE60-B7D0A3B460A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AF-4B78-AE60-B7D0A3B460A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AF-4B78-AE60-B7D0A3B460AC}"/>
              </c:ext>
            </c:extLst>
          </c:dPt>
          <c:cat>
            <c:strRef>
              <c:f>backend!$A$4:$A$8</c:f>
              <c:strCache>
                <c:ptCount val="4"/>
                <c:pt idx="0">
                  <c:v>Tiers</c:v>
                </c:pt>
                <c:pt idx="1">
                  <c:v>Tiers+</c:v>
                </c:pt>
                <c:pt idx="2">
                  <c:v>Tous Risques</c:v>
                </c:pt>
                <c:pt idx="3">
                  <c:v>(vide)</c:v>
                </c:pt>
              </c:strCache>
            </c:strRef>
          </c:cat>
          <c:val>
            <c:numRef>
              <c:f>backend!$B$4:$B$8</c:f>
              <c:numCache>
                <c:formatCode>General</c:formatCode>
                <c:ptCount val="4"/>
                <c:pt idx="0">
                  <c:v>95550</c:v>
                </c:pt>
                <c:pt idx="1">
                  <c:v>144270</c:v>
                </c:pt>
                <c:pt idx="2">
                  <c:v>152100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3-4503-87B2-5FB163C3C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820832"/>
        <c:axId val="575822800"/>
      </c:barChart>
      <c:catAx>
        <c:axId val="57582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822800"/>
        <c:crosses val="autoZero"/>
        <c:auto val="1"/>
        <c:lblAlgn val="ctr"/>
        <c:lblOffset val="100"/>
        <c:noMultiLvlLbl val="0"/>
      </c:catAx>
      <c:valAx>
        <c:axId val="5758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82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[dounia aghzzaf2.xlsx]backend!Tableau croisé dynamique2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Nombre de contrats par Ville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  <a:sp3d/>
        </c:spPr>
      </c:pivotFmt>
      <c:pivotFmt>
        <c:idx val="7"/>
        <c:spPr>
          <a:solidFill>
            <a:schemeClr val="accent6">
              <a:lumMod val="50000"/>
            </a:schemeClr>
          </a:solidFill>
          <a:ln>
            <a:noFill/>
          </a:ln>
          <a:effectLst/>
          <a:sp3d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backend!$B$11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9A33-41BF-AC1B-BA1BE12DC8B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9A33-41BF-AC1B-BA1BE12DC8B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9A33-41BF-AC1B-BA1BE12DC8B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9A33-41BF-AC1B-BA1BE12DC8B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9A33-41BF-AC1B-BA1BE12DC8B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9A33-41BF-AC1B-BA1BE12DC8BA}"/>
              </c:ext>
            </c:extLst>
          </c:dPt>
          <c:cat>
            <c:strRef>
              <c:f>backend!$A$12:$A$19</c:f>
              <c:strCache>
                <c:ptCount val="7"/>
                <c:pt idx="0">
                  <c:v>Agadir</c:v>
                </c:pt>
                <c:pt idx="1">
                  <c:v>Casablanca</c:v>
                </c:pt>
                <c:pt idx="2">
                  <c:v>Fes</c:v>
                </c:pt>
                <c:pt idx="3">
                  <c:v>Marrakech</c:v>
                </c:pt>
                <c:pt idx="4">
                  <c:v>Ouarzazate</c:v>
                </c:pt>
                <c:pt idx="5">
                  <c:v>Rabat</c:v>
                </c:pt>
                <c:pt idx="6">
                  <c:v>(vide)</c:v>
                </c:pt>
              </c:strCache>
            </c:strRef>
          </c:cat>
          <c:val>
            <c:numRef>
              <c:f>backend!$B$12:$B$19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E-4BF1-8616-AE8C950DE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2654984"/>
        <c:axId val="572655312"/>
        <c:axId val="0"/>
      </c:bar3DChart>
      <c:catAx>
        <c:axId val="572654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655312"/>
        <c:crosses val="autoZero"/>
        <c:auto val="1"/>
        <c:lblAlgn val="ctr"/>
        <c:lblOffset val="100"/>
        <c:noMultiLvlLbl val="0"/>
      </c:catAx>
      <c:valAx>
        <c:axId val="57265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654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[dounia aghzzaf2.xlsx]backend!Tableau croisé dynamique4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Prime moyenne par Type_Vehicule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 w="25400">
            <a:solidFill>
              <a:srgbClr val="00B0F0"/>
            </a:solidFill>
          </a:ln>
          <a:effectLst/>
          <a:sp3d contourW="25400">
            <a:contourClr>
              <a:srgbClr val="00B0F0"/>
            </a:contourClr>
          </a:sp3d>
        </c:spPr>
      </c:pivotFmt>
      <c:pivotFmt>
        <c:idx val="8"/>
        <c:spPr>
          <a:solidFill>
            <a:schemeClr val="tx2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5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backend!$B$22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25400">
                <a:solidFill>
                  <a:srgbClr val="00B0F0"/>
                </a:solidFill>
              </a:ln>
              <a:effectLst/>
              <a:sp3d contourW="25400">
                <a:contourClr>
                  <a:srgbClr val="00B0F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CD1-4657-8ED6-55C2E64D2A7F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CD1-4657-8ED6-55C2E64D2A7F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CD1-4657-8ED6-55C2E64D2A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CD1-4657-8ED6-55C2E64D2A7F}"/>
              </c:ext>
            </c:extLst>
          </c:dPt>
          <c:cat>
            <c:strRef>
              <c:f>backend!$A$23:$A$27</c:f>
              <c:strCache>
                <c:ptCount val="4"/>
                <c:pt idx="0">
                  <c:v>Camion</c:v>
                </c:pt>
                <c:pt idx="1">
                  <c:v>Moto</c:v>
                </c:pt>
                <c:pt idx="2">
                  <c:v>Voiture</c:v>
                </c:pt>
                <c:pt idx="3">
                  <c:v>(vide)</c:v>
                </c:pt>
              </c:strCache>
            </c:strRef>
          </c:cat>
          <c:val>
            <c:numRef>
              <c:f>backend!$B$23:$B$27</c:f>
              <c:numCache>
                <c:formatCode>General</c:formatCode>
                <c:ptCount val="4"/>
                <c:pt idx="0">
                  <c:v>11700</c:v>
                </c:pt>
                <c:pt idx="1">
                  <c:v>10305</c:v>
                </c:pt>
                <c:pt idx="2">
                  <c:v>7350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D1-4657-8ED6-55C2E64D2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[dounia aghzzaf2.xlsx]backend!Tableau croisé dynamique5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/>
        </c:spPr>
      </c:pivotFmt>
      <c:pivotFmt>
        <c:idx val="12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backend!$E$4</c:f>
              <c:strCache>
                <c:ptCount val="1"/>
                <c:pt idx="0">
                  <c:v>Nombre de Prénom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D0-4D55-94DD-29C95762826B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D0-4D55-94DD-29C95762826B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D0-4D55-94DD-29C95762826B}"/>
              </c:ext>
            </c:extLst>
          </c:dPt>
          <c:cat>
            <c:strRef>
              <c:f>backend!$D$5:$D$8</c:f>
              <c:strCache>
                <c:ptCount val="3"/>
                <c:pt idx="0">
                  <c:v>Premium</c:v>
                </c:pt>
                <c:pt idx="1">
                  <c:v>VIP</c:v>
                </c:pt>
                <c:pt idx="2">
                  <c:v>(vide)</c:v>
                </c:pt>
              </c:strCache>
            </c:strRef>
          </c:cat>
          <c:val>
            <c:numRef>
              <c:f>backend!$E$5:$E$8</c:f>
              <c:numCache>
                <c:formatCode>General</c:formatCode>
                <c:ptCount val="3"/>
                <c:pt idx="0">
                  <c:v>1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D0-4D55-94DD-29C95762826B}"/>
            </c:ext>
          </c:extLst>
        </c:ser>
        <c:ser>
          <c:idx val="1"/>
          <c:order val="1"/>
          <c:tx>
            <c:strRef>
              <c:f>backend!$F$4</c:f>
              <c:strCache>
                <c:ptCount val="1"/>
                <c:pt idx="0">
                  <c:v>Nombre de Nom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3D0-4D55-94DD-29C95762826B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3D0-4D55-94DD-29C95762826B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3D0-4D55-94DD-29C95762826B}"/>
              </c:ext>
            </c:extLst>
          </c:dPt>
          <c:cat>
            <c:strRef>
              <c:f>backend!$D$5:$D$8</c:f>
              <c:strCache>
                <c:ptCount val="3"/>
                <c:pt idx="0">
                  <c:v>Premium</c:v>
                </c:pt>
                <c:pt idx="1">
                  <c:v>VIP</c:v>
                </c:pt>
                <c:pt idx="2">
                  <c:v>(vide)</c:v>
                </c:pt>
              </c:strCache>
            </c:strRef>
          </c:cat>
          <c:val>
            <c:numRef>
              <c:f>backend!$F$5:$F$8</c:f>
              <c:numCache>
                <c:formatCode>General</c:formatCode>
                <c:ptCount val="3"/>
                <c:pt idx="0">
                  <c:v>1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3D0-4D55-94DD-29C957628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[dounia aghzzaf2.xlsx]backend!Tableau croisé dynamique8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des primes par Mois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backend!$E$12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backend!$D$13:$D$15</c:f>
              <c:strCache>
                <c:ptCount val="2"/>
                <c:pt idx="0">
                  <c:v>(vide)</c:v>
                </c:pt>
                <c:pt idx="1">
                  <c:v>janv</c:v>
                </c:pt>
              </c:strCache>
            </c:strRef>
          </c:cat>
          <c:val>
            <c:numRef>
              <c:f>backend!$E$13:$E$15</c:f>
              <c:numCache>
                <c:formatCode>General</c:formatCode>
                <c:ptCount val="2"/>
                <c:pt idx="1">
                  <c:v>391920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A-4CBD-B889-97044E7FA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173904"/>
        <c:axId val="451169640"/>
        <c:axId val="0"/>
      </c:area3DChart>
      <c:catAx>
        <c:axId val="45117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169640"/>
        <c:crosses val="autoZero"/>
        <c:auto val="1"/>
        <c:lblAlgn val="ctr"/>
        <c:lblOffset val="100"/>
        <c:noMultiLvlLbl val="0"/>
      </c:catAx>
      <c:valAx>
        <c:axId val="451169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173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[dounia aghzzaf2.xlsx]backend!Tableau croisé dynamique7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5 clients par Prime_Totale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backend!$E$22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backend!$D$23:$D$28</c:f>
              <c:strCache>
                <c:ptCount val="5"/>
                <c:pt idx="0">
                  <c:v>Ait Brahim</c:v>
                </c:pt>
                <c:pt idx="1">
                  <c:v>El Hachimi</c:v>
                </c:pt>
                <c:pt idx="2">
                  <c:v>Karrouchi</c:v>
                </c:pt>
                <c:pt idx="3">
                  <c:v>Kouhen</c:v>
                </c:pt>
                <c:pt idx="4">
                  <c:v>Ouhmid</c:v>
                </c:pt>
              </c:strCache>
            </c:strRef>
          </c:cat>
          <c:val>
            <c:numRef>
              <c:f>backend!$E$23:$E$28</c:f>
              <c:numCache>
                <c:formatCode>General</c:formatCode>
                <c:ptCount val="5"/>
                <c:pt idx="0">
                  <c:v>14400</c:v>
                </c:pt>
                <c:pt idx="1">
                  <c:v>14580</c:v>
                </c:pt>
                <c:pt idx="2">
                  <c:v>16020</c:v>
                </c:pt>
                <c:pt idx="3">
                  <c:v>13860</c:v>
                </c:pt>
                <c:pt idx="4">
                  <c:v>15300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1-4175-B218-1481C08A5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5133240"/>
        <c:axId val="765133568"/>
      </c:lineChart>
      <c:catAx>
        <c:axId val="765133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133568"/>
        <c:crosses val="autoZero"/>
        <c:auto val="1"/>
        <c:lblAlgn val="ctr"/>
        <c:lblOffset val="100"/>
        <c:noMultiLvlLbl val="0"/>
      </c:catAx>
      <c:valAx>
        <c:axId val="76513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133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image" Target="../media/image5.svg"/><Relationship Id="rId18" Type="http://schemas.openxmlformats.org/officeDocument/2006/relationships/image" Target="../media/image10.png"/><Relationship Id="rId3" Type="http://schemas.openxmlformats.org/officeDocument/2006/relationships/chart" Target="../charts/chart3.xml"/><Relationship Id="rId21" Type="http://schemas.openxmlformats.org/officeDocument/2006/relationships/image" Target="../media/image13.svg"/><Relationship Id="rId7" Type="http://schemas.openxmlformats.org/officeDocument/2006/relationships/customXml" Target="../ink/ink1.xml"/><Relationship Id="rId12" Type="http://schemas.openxmlformats.org/officeDocument/2006/relationships/image" Target="../media/image4.png"/><Relationship Id="rId17" Type="http://schemas.openxmlformats.org/officeDocument/2006/relationships/image" Target="../media/image9.svg"/><Relationship Id="rId2" Type="http://schemas.openxmlformats.org/officeDocument/2006/relationships/chart" Target="../charts/chart2.xml"/><Relationship Id="rId16" Type="http://schemas.openxmlformats.org/officeDocument/2006/relationships/image" Target="../media/image8.png"/><Relationship Id="rId20" Type="http://schemas.openxmlformats.org/officeDocument/2006/relationships/image" Target="../media/image12.pn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3.svg"/><Relationship Id="rId5" Type="http://schemas.openxmlformats.org/officeDocument/2006/relationships/chart" Target="../charts/chart5.xml"/><Relationship Id="rId15" Type="http://schemas.openxmlformats.org/officeDocument/2006/relationships/image" Target="../media/image7.svg"/><Relationship Id="rId10" Type="http://schemas.openxmlformats.org/officeDocument/2006/relationships/image" Target="../media/image2.png"/><Relationship Id="rId19" Type="http://schemas.openxmlformats.org/officeDocument/2006/relationships/image" Target="../media/image11.svg"/><Relationship Id="rId4" Type="http://schemas.openxmlformats.org/officeDocument/2006/relationships/chart" Target="../charts/chart4.xml"/><Relationship Id="rId9" Type="http://schemas.openxmlformats.org/officeDocument/2006/relationships/customXml" Target="../ink/ink2.xml"/><Relationship Id="rId1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5</xdr:row>
      <xdr:rowOff>22860</xdr:rowOff>
    </xdr:from>
    <xdr:to>
      <xdr:col>6</xdr:col>
      <xdr:colOff>152400</xdr:colOff>
      <xdr:row>20</xdr:row>
      <xdr:rowOff>22860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7A45DAD-DA5F-43D7-9D52-71EF7FA32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175260</xdr:colOff>
      <xdr:row>4</xdr:row>
      <xdr:rowOff>175260</xdr:rowOff>
    </xdr:from>
    <xdr:to>
      <xdr:col>12</xdr:col>
      <xdr:colOff>784860</xdr:colOff>
      <xdr:row>19</xdr:row>
      <xdr:rowOff>175260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DBB3740D-94B8-40AC-B3A6-C01C133FD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373380</xdr:colOff>
      <xdr:row>24</xdr:row>
      <xdr:rowOff>129540</xdr:rowOff>
    </xdr:from>
    <xdr:to>
      <xdr:col>6</xdr:col>
      <xdr:colOff>190500</xdr:colOff>
      <xdr:row>39</xdr:row>
      <xdr:rowOff>129540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C8682A23-4C86-4445-9B84-80A92999C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205740</xdr:colOff>
      <xdr:row>24</xdr:row>
      <xdr:rowOff>152400</xdr:rowOff>
    </xdr:from>
    <xdr:to>
      <xdr:col>13</xdr:col>
      <xdr:colOff>22860</xdr:colOff>
      <xdr:row>39</xdr:row>
      <xdr:rowOff>152400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37EAB12-6016-4C2E-AFAE-C745E3458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396240</xdr:colOff>
      <xdr:row>42</xdr:row>
      <xdr:rowOff>106680</xdr:rowOff>
    </xdr:from>
    <xdr:to>
      <xdr:col>6</xdr:col>
      <xdr:colOff>213360</xdr:colOff>
      <xdr:row>57</xdr:row>
      <xdr:rowOff>106680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7DDA455-D06F-4C7D-9324-13B8DB68E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236220</xdr:colOff>
      <xdr:row>42</xdr:row>
      <xdr:rowOff>175260</xdr:rowOff>
    </xdr:from>
    <xdr:to>
      <xdr:col>13</xdr:col>
      <xdr:colOff>53340</xdr:colOff>
      <xdr:row>57</xdr:row>
      <xdr:rowOff>175260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1D2FDF4B-DFB1-4B9D-8818-B33BE5242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137040</xdr:colOff>
      <xdr:row>26</xdr:row>
      <xdr:rowOff>22680</xdr:rowOff>
    </xdr:from>
    <xdr:to>
      <xdr:col>1</xdr:col>
      <xdr:colOff>137400</xdr:colOff>
      <xdr:row>26</xdr:row>
      <xdr:rowOff>23040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1" name="Encre 10">
              <a:extLst>
                <a:ext uri="{FF2B5EF4-FFF2-40B4-BE49-F238E27FC236}">
                  <a16:creationId xmlns:a16="http://schemas.microsoft.com/office/drawing/2014/main" id="{7D9563A9-A8B8-4BC8-BD14-2A5A3345D909}"/>
                </a:ext>
              </a:extLst>
            </xdr14:cNvPr>
            <xdr14:cNvContentPartPr/>
          </xdr14:nvContentPartPr>
          <xdr14:nvPr macro=""/>
          <xdr14:xfrm>
            <a:off x="929520" y="4777560"/>
            <a:ext cx="360" cy="360"/>
          </xdr14:xfrm>
        </xdr:contentPart>
      </mc:Choice>
      <mc:Fallback xmlns="">
        <xdr:pic>
          <xdr:nvPicPr>
            <xdr:cNvPr id="11" name="Encre 10">
              <a:extLst>
                <a:ext uri="{FF2B5EF4-FFF2-40B4-BE49-F238E27FC236}">
                  <a16:creationId xmlns:a16="http://schemas.microsoft.com/office/drawing/2014/main" id="{7D9563A9-A8B8-4BC8-BD14-2A5A3345D90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20520" y="47689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312360</xdr:colOff>
      <xdr:row>3</xdr:row>
      <xdr:rowOff>114120</xdr:rowOff>
    </xdr:from>
    <xdr:to>
      <xdr:col>10</xdr:col>
      <xdr:colOff>312720</xdr:colOff>
      <xdr:row>3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" name="Encre 12">
              <a:extLst>
                <a:ext uri="{FF2B5EF4-FFF2-40B4-BE49-F238E27FC236}">
                  <a16:creationId xmlns:a16="http://schemas.microsoft.com/office/drawing/2014/main" id="{711C3037-67D4-485B-9CF9-7F0BF42C8B84}"/>
                </a:ext>
              </a:extLst>
            </xdr14:cNvPr>
            <xdr14:cNvContentPartPr/>
          </xdr14:nvContentPartPr>
          <xdr14:nvPr macro=""/>
          <xdr14:xfrm>
            <a:off x="8237160" y="662760"/>
            <a:ext cx="360" cy="360"/>
          </xdr14:xfrm>
        </xdr:contentPart>
      </mc:Choice>
      <mc:Fallback xmlns="">
        <xdr:pic>
          <xdr:nvPicPr>
            <xdr:cNvPr id="13" name="Encre 12">
              <a:extLst>
                <a:ext uri="{FF2B5EF4-FFF2-40B4-BE49-F238E27FC236}">
                  <a16:creationId xmlns:a16="http://schemas.microsoft.com/office/drawing/2014/main" id="{711C3037-67D4-485B-9CF9-7F0BF42C8B8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228160" y="6541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342900</xdr:colOff>
      <xdr:row>0</xdr:row>
      <xdr:rowOff>53340</xdr:rowOff>
    </xdr:from>
    <xdr:to>
      <xdr:col>1</xdr:col>
      <xdr:colOff>464820</xdr:colOff>
      <xdr:row>5</xdr:row>
      <xdr:rowOff>53340</xdr:rowOff>
    </xdr:to>
    <xdr:pic>
      <xdr:nvPicPr>
        <xdr:cNvPr id="3" name="Graphique 2" descr="Voiture avec un remplissage uni">
          <a:extLst>
            <a:ext uri="{FF2B5EF4-FFF2-40B4-BE49-F238E27FC236}">
              <a16:creationId xmlns:a16="http://schemas.microsoft.com/office/drawing/2014/main" id="{00133EE9-6AB8-437E-86BD-42C66FE23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342900" y="5334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647700</xdr:colOff>
      <xdr:row>0</xdr:row>
      <xdr:rowOff>167640</xdr:rowOff>
    </xdr:from>
    <xdr:to>
      <xdr:col>6</xdr:col>
      <xdr:colOff>769620</xdr:colOff>
      <xdr:row>5</xdr:row>
      <xdr:rowOff>167640</xdr:rowOff>
    </xdr:to>
    <xdr:pic>
      <xdr:nvPicPr>
        <xdr:cNvPr id="12" name="Graphique 11" descr="Pièces avec un remplissage uni">
          <a:extLst>
            <a:ext uri="{FF2B5EF4-FFF2-40B4-BE49-F238E27FC236}">
              <a16:creationId xmlns:a16="http://schemas.microsoft.com/office/drawing/2014/main" id="{D902364A-93CA-4AE2-960E-4A6630C3C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4610100" y="16764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11</xdr:col>
      <xdr:colOff>731520</xdr:colOff>
      <xdr:row>42</xdr:row>
      <xdr:rowOff>60960</xdr:rowOff>
    </xdr:from>
    <xdr:to>
      <xdr:col>13</xdr:col>
      <xdr:colOff>60960</xdr:colOff>
      <xdr:row>47</xdr:row>
      <xdr:rowOff>60960</xdr:rowOff>
    </xdr:to>
    <xdr:pic>
      <xdr:nvPicPr>
        <xdr:cNvPr id="14" name="Graphique 1" descr="Croissance de l'activité avec un remplissage uni">
          <a:extLst>
            <a:ext uri="{FF2B5EF4-FFF2-40B4-BE49-F238E27FC236}">
              <a16:creationId xmlns:a16="http://schemas.microsoft.com/office/drawing/2014/main" id="{EC1E9EB4-E81C-4165-B496-DB0BDCF58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9448800" y="774192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0</xdr:row>
      <xdr:rowOff>0</xdr:rowOff>
    </xdr:from>
    <xdr:to>
      <xdr:col>13</xdr:col>
      <xdr:colOff>480060</xdr:colOff>
      <xdr:row>5</xdr:row>
      <xdr:rowOff>0</xdr:rowOff>
    </xdr:to>
    <xdr:pic>
      <xdr:nvPicPr>
        <xdr:cNvPr id="15" name="Graphique 1" descr="Base de données avec un remplissage uni">
          <a:extLst>
            <a:ext uri="{FF2B5EF4-FFF2-40B4-BE49-F238E27FC236}">
              <a16:creationId xmlns:a16="http://schemas.microsoft.com/office/drawing/2014/main" id="{F0B07989-DA01-4B77-AD01-210E6760E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986790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411480</xdr:colOff>
      <xdr:row>20</xdr:row>
      <xdr:rowOff>137160</xdr:rowOff>
    </xdr:from>
    <xdr:to>
      <xdr:col>1</xdr:col>
      <xdr:colOff>533400</xdr:colOff>
      <xdr:row>25</xdr:row>
      <xdr:rowOff>137160</xdr:rowOff>
    </xdr:to>
    <xdr:pic>
      <xdr:nvPicPr>
        <xdr:cNvPr id="16" name="Graphique 1" descr="Camion avec un remplissage uni">
          <a:extLst>
            <a:ext uri="{FF2B5EF4-FFF2-40B4-BE49-F238E27FC236}">
              <a16:creationId xmlns:a16="http://schemas.microsoft.com/office/drawing/2014/main" id="{B1D52971-6FC5-4BFE-9661-A24CE6974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411480" y="379476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11</xdr:col>
      <xdr:colOff>396240</xdr:colOff>
      <xdr:row>20</xdr:row>
      <xdr:rowOff>160020</xdr:rowOff>
    </xdr:from>
    <xdr:to>
      <xdr:col>12</xdr:col>
      <xdr:colOff>518160</xdr:colOff>
      <xdr:row>25</xdr:row>
      <xdr:rowOff>160020</xdr:rowOff>
    </xdr:to>
    <xdr:pic>
      <xdr:nvPicPr>
        <xdr:cNvPr id="9" name="Graphique 8" descr="Bus avec un remplissage uni">
          <a:extLst>
            <a:ext uri="{FF2B5EF4-FFF2-40B4-BE49-F238E27FC236}">
              <a16:creationId xmlns:a16="http://schemas.microsoft.com/office/drawing/2014/main" id="{BC73FC99-29BC-401E-BE74-9760E22D1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9113520" y="3817620"/>
          <a:ext cx="914400" cy="914400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30T10:56:09.7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30T10:59:42.1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1,'-1'0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21.434969907408" createdVersion="7" refreshedVersion="7" minRefreshableVersion="3" recordCount="41" xr:uid="{506FE435-67E6-4FA0-BA19-B3E60CBCF2B9}">
  <cacheSource type="worksheet">
    <worksheetSource ref="A1:V1048576" sheet="Assurances_Auto"/>
  </cacheSource>
  <cacheFields count="22">
    <cacheField name="ID_Client" numFmtId="0">
      <sharedItems containsString="0" containsBlank="1" containsNumber="1" containsInteger="1" minValue="1" maxValue="40"/>
    </cacheField>
    <cacheField name="Nom" numFmtId="0">
      <sharedItems containsBlank="1" count="41">
        <s v="El Amrani"/>
        <s v="Ait Lahcen"/>
        <s v="Benali"/>
        <s v="El Idrissi"/>
        <s v="Chraibi"/>
        <s v="Tahiri"/>
        <s v="Bennani"/>
        <s v="El Fassi"/>
        <s v="Alaoui"/>
        <s v="Zerouali"/>
        <s v="Skalli"/>
        <s v="Raji"/>
        <s v="Ouahbi"/>
        <s v="Amine"/>
        <s v="Mouline"/>
        <s v="Lahlou"/>
        <s v="Kabbaj"/>
        <s v="Bouzidi"/>
        <s v="El Mansouri"/>
        <s v="Haddad"/>
        <s v="Berrada"/>
        <s v="Sbaai"/>
        <s v="Ghazali"/>
        <s v="Benkirane"/>
        <s v="El Khatib"/>
        <s v="Azizi"/>
        <s v="Raiss"/>
        <s v="Fadili"/>
        <s v="Kouhen"/>
        <s v="Smires"/>
        <s v="Bounou"/>
        <s v="El Hachimi"/>
        <s v="Zayani"/>
        <s v="Belaid"/>
        <s v="Ouhmid"/>
        <s v="Hami"/>
        <s v="El Mouden"/>
        <s v="Karrouchi"/>
        <s v="Benchekroun"/>
        <s v="Ait Brahim"/>
        <m/>
      </sharedItems>
    </cacheField>
    <cacheField name="Prénom" numFmtId="0">
      <sharedItems containsBlank="1" count="41">
        <s v="Youssef"/>
        <s v="Fatima"/>
        <s v="Ahmed"/>
        <s v="Salma"/>
        <s v="Mohamed"/>
        <s v="Khadija"/>
        <s v="Omar"/>
        <s v="Imane"/>
        <s v="Hassan"/>
        <s v="Nadia"/>
        <s v="Abdelilah"/>
        <s v="Siham"/>
        <s v="Anas"/>
        <s v="Soukaina"/>
        <s v="Rachid"/>
        <s v="Sara"/>
        <s v="Yassine"/>
        <s v="Amina"/>
        <s v="Karim"/>
        <s v="Latifa"/>
        <s v="Ayoub"/>
        <s v="Hanane"/>
        <s v="Mehdi"/>
        <s v="Samir"/>
        <s v="Meriem"/>
        <s v="Hamza"/>
        <s v="Nour"/>
        <s v="Abdelkader"/>
        <s v="Lina"/>
        <s v="Younes"/>
        <s v="Ikram"/>
        <s v="Said"/>
        <s v="Rania"/>
        <s v="Yassir"/>
        <s v="Malika"/>
        <s v="Reda"/>
        <s v="Jamal"/>
        <s v="Ilham"/>
        <s v="Adil"/>
        <s v="Naima"/>
        <m/>
      </sharedItems>
    </cacheField>
    <cacheField name="CIN" numFmtId="0">
      <sharedItems containsBlank="1"/>
    </cacheField>
    <cacheField name="Ville" numFmtId="0">
      <sharedItems containsBlank="1" count="7">
        <s v="Ouarzazate"/>
        <s v="Marrakech"/>
        <s v="Rabat"/>
        <s v="Casablanca"/>
        <s v="Agadir"/>
        <s v="Fes"/>
        <m/>
      </sharedItems>
    </cacheField>
    <cacheField name="Type_Vehicule" numFmtId="0">
      <sharedItems containsBlank="1" count="4">
        <s v="Moto"/>
        <s v="Camion"/>
        <s v="Voiture"/>
        <m/>
      </sharedItems>
    </cacheField>
    <cacheField name="Marque" numFmtId="0">
      <sharedItems containsBlank="1"/>
    </cacheField>
    <cacheField name="Année_Vehicule" numFmtId="0">
      <sharedItems containsString="0" containsBlank="1" containsNumber="1" containsInteger="1" minValue="2010" maxValue="2023"/>
    </cacheField>
    <cacheField name="Valeur_Vehicule" numFmtId="0">
      <sharedItems containsString="0" containsBlank="1" containsNumber="1" containsInteger="1" minValue="93000" maxValue="210000"/>
    </cacheField>
    <cacheField name="Type_Assurance" numFmtId="0">
      <sharedItems containsBlank="1" count="4">
        <s v="Tiers+"/>
        <s v="Tous Risques"/>
        <s v="Tiers"/>
        <m/>
      </sharedItems>
    </cacheField>
    <cacheField name="Date_Souscription" numFmtId="0">
      <sharedItems containsNonDate="0" containsDate="1" containsString="0" containsBlank="1" minDate="2025-01-01T00:00:00" maxDate="2025-01-29T00:00:00" count="29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01T00:00:00"/>
        <m/>
      </sharedItems>
      <fieldGroup base="10">
        <rangePr groupBy="months" startDate="2025-01-01T00:00:00" endDate="2025-01-29T00:00:00"/>
        <groupItems count="14">
          <s v="(vide)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9/01/2025"/>
        </groupItems>
      </fieldGroup>
    </cacheField>
    <cacheField name="Durée" numFmtId="0">
      <sharedItems containsString="0" containsBlank="1" containsNumber="1" containsInteger="1" minValue="12" maxValue="12"/>
    </cacheField>
    <cacheField name="Prime_Base" numFmtId="0">
      <sharedItems containsString="0" containsBlank="1" containsNumber="1" containsInteger="1" minValue="1560" maxValue="3900"/>
    </cacheField>
    <cacheField name="Taux_Risque" numFmtId="0">
      <sharedItems containsString="0" containsBlank="1" containsNumber="1" minValue="0.03" maxValue="0.06"/>
    </cacheField>
    <cacheField name="Montant_Risque" numFmtId="0">
      <sharedItems containsString="0" containsBlank="1" containsNumber="1" containsInteger="1" minValue="2970" maxValue="12240"/>
    </cacheField>
    <cacheField name="Prime_Totale" numFmtId="0">
      <sharedItems containsString="0" containsBlank="1" containsNumber="1" containsInteger="1" minValue="4650" maxValue="16020"/>
    </cacheField>
    <cacheField name="Statut_Client" numFmtId="0">
      <sharedItems containsBlank="1" count="3">
        <s v="VIP"/>
        <s v="Premium"/>
        <m/>
      </sharedItems>
    </cacheField>
    <cacheField name="clasmment" numFmtId="0">
      <sharedItems containsString="0" containsBlank="1" containsNumber="1" containsInteger="1" minValue="1" maxValue="38"/>
    </cacheField>
    <cacheField name="nb_contrat" numFmtId="0">
      <sharedItems containsString="0" containsBlank="1" containsNumber="1" containsInteger="1" minValue="13" maxValue="13"/>
    </cacheField>
    <cacheField name="nb_voiture" numFmtId="0">
      <sharedItems containsBlank="1" containsMixedTypes="1" containsNumber="1" containsInteger="1" minValue="13" maxValue="13"/>
    </cacheField>
    <cacheField name="Total primes – Ouarzazate" numFmtId="0">
      <sharedItems containsBlank="1" containsMixedTypes="1" containsNumber="1" containsInteger="1" minValue="3" maxValue="72060"/>
    </cacheField>
    <cacheField name="Total primes – Camion" numFmtId="0">
      <sharedItems containsString="0" containsBlank="1" containsNumber="1" containsInteger="1" minValue="152100" maxValue="152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"/>
    <x v="0"/>
    <x v="0"/>
    <s v="AB00001"/>
    <x v="0"/>
    <x v="0"/>
    <s v="Renault"/>
    <n v="2011"/>
    <n v="93000"/>
    <x v="0"/>
    <x v="0"/>
    <n v="12"/>
    <n v="1560"/>
    <n v="0.05"/>
    <n v="4650"/>
    <n v="6210"/>
    <x v="0"/>
    <n v="36"/>
    <n v="13"/>
    <n v="13"/>
    <n v="72060"/>
    <n v="152100"/>
  </r>
  <r>
    <n v="2"/>
    <x v="1"/>
    <x v="1"/>
    <s v="AB00002"/>
    <x v="0"/>
    <x v="1"/>
    <s v="Toyota"/>
    <n v="2012"/>
    <n v="96000"/>
    <x v="1"/>
    <x v="1"/>
    <n v="12"/>
    <n v="1620"/>
    <n v="0.06"/>
    <n v="5760"/>
    <n v="7380"/>
    <x v="0"/>
    <n v="31"/>
    <m/>
    <m/>
    <m/>
    <m/>
  </r>
  <r>
    <n v="3"/>
    <x v="2"/>
    <x v="2"/>
    <s v="AB00003"/>
    <x v="1"/>
    <x v="2"/>
    <s v="Hyundai"/>
    <n v="2013"/>
    <n v="99000"/>
    <x v="2"/>
    <x v="2"/>
    <n v="12"/>
    <n v="1680"/>
    <n v="0.03"/>
    <n v="2970"/>
    <n v="4650"/>
    <x v="1"/>
    <n v="38"/>
    <m/>
    <m/>
    <m/>
    <m/>
  </r>
  <r>
    <n v="4"/>
    <x v="3"/>
    <x v="3"/>
    <s v="AB00004"/>
    <x v="2"/>
    <x v="0"/>
    <s v="Ford"/>
    <n v="2014"/>
    <n v="102000"/>
    <x v="0"/>
    <x v="3"/>
    <n v="12"/>
    <n v="1740"/>
    <n v="0.05"/>
    <n v="5100"/>
    <n v="6840"/>
    <x v="0"/>
    <n v="33"/>
    <m/>
    <m/>
    <m/>
    <m/>
  </r>
  <r>
    <n v="5"/>
    <x v="4"/>
    <x v="4"/>
    <s v="AB00005"/>
    <x v="3"/>
    <x v="1"/>
    <s v="Peugeot"/>
    <n v="2015"/>
    <n v="105000"/>
    <x v="1"/>
    <x v="4"/>
    <n v="12"/>
    <n v="1800"/>
    <n v="0.06"/>
    <n v="6300"/>
    <n v="8100"/>
    <x v="0"/>
    <n v="27"/>
    <m/>
    <m/>
    <m/>
    <m/>
  </r>
  <r>
    <n v="6"/>
    <x v="5"/>
    <x v="5"/>
    <s v="AB00006"/>
    <x v="4"/>
    <x v="2"/>
    <s v="Dacia"/>
    <n v="2016"/>
    <n v="108000"/>
    <x v="2"/>
    <x v="5"/>
    <n v="12"/>
    <n v="1860"/>
    <n v="0.03"/>
    <n v="3240"/>
    <n v="5100"/>
    <x v="0"/>
    <n v="35"/>
    <m/>
    <m/>
    <m/>
    <m/>
  </r>
  <r>
    <n v="7"/>
    <x v="6"/>
    <x v="6"/>
    <s v="AB00007"/>
    <x v="1"/>
    <x v="0"/>
    <s v="Renault"/>
    <n v="2017"/>
    <n v="111000"/>
    <x v="0"/>
    <x v="6"/>
    <n v="12"/>
    <n v="1920"/>
    <n v="0.05"/>
    <n v="5550"/>
    <n v="7470"/>
    <x v="0"/>
    <n v="29"/>
    <m/>
    <m/>
    <m/>
    <m/>
  </r>
  <r>
    <n v="8"/>
    <x v="7"/>
    <x v="7"/>
    <s v="AB00008"/>
    <x v="5"/>
    <x v="1"/>
    <s v="Toyota"/>
    <n v="2018"/>
    <n v="114000"/>
    <x v="1"/>
    <x v="7"/>
    <n v="12"/>
    <n v="1980"/>
    <n v="0.06"/>
    <n v="6840"/>
    <n v="8820"/>
    <x v="0"/>
    <n v="23"/>
    <m/>
    <m/>
    <m/>
    <m/>
  </r>
  <r>
    <n v="9"/>
    <x v="8"/>
    <x v="8"/>
    <s v="AB00009"/>
    <x v="2"/>
    <x v="2"/>
    <s v="Hyundai"/>
    <n v="2019"/>
    <n v="117000"/>
    <x v="2"/>
    <x v="8"/>
    <n v="12"/>
    <n v="2040"/>
    <n v="0.03"/>
    <n v="3510"/>
    <n v="5550"/>
    <x v="0"/>
    <n v="32"/>
    <m/>
    <s v="ID"/>
    <n v="3"/>
    <m/>
  </r>
  <r>
    <n v="10"/>
    <x v="9"/>
    <x v="9"/>
    <s v="AB00010"/>
    <x v="4"/>
    <x v="0"/>
    <s v="Ford"/>
    <n v="2020"/>
    <n v="120000"/>
    <x v="0"/>
    <x v="9"/>
    <n v="12"/>
    <n v="2100"/>
    <n v="0.05"/>
    <n v="6000"/>
    <n v="8100"/>
    <x v="0"/>
    <n v="26"/>
    <m/>
    <s v="nom"/>
    <s v="Benali"/>
    <m/>
  </r>
  <r>
    <n v="11"/>
    <x v="10"/>
    <x v="10"/>
    <s v="AB00011"/>
    <x v="3"/>
    <x v="1"/>
    <s v="Peugeot"/>
    <n v="2021"/>
    <n v="123000"/>
    <x v="1"/>
    <x v="10"/>
    <n v="12"/>
    <n v="2160"/>
    <n v="0.06"/>
    <n v="7380"/>
    <n v="9540"/>
    <x v="0"/>
    <n v="20"/>
    <m/>
    <s v="prime_total"/>
    <n v="4650"/>
    <m/>
  </r>
  <r>
    <n v="12"/>
    <x v="11"/>
    <x v="11"/>
    <s v="AB00012"/>
    <x v="1"/>
    <x v="2"/>
    <s v="Dacia"/>
    <n v="2022"/>
    <n v="126000"/>
    <x v="2"/>
    <x v="11"/>
    <n v="12"/>
    <n v="2220"/>
    <n v="0.03"/>
    <n v="3780"/>
    <n v="6000"/>
    <x v="0"/>
    <n v="29"/>
    <m/>
    <m/>
    <m/>
    <m/>
  </r>
  <r>
    <n v="13"/>
    <x v="12"/>
    <x v="12"/>
    <s v="AB00013"/>
    <x v="0"/>
    <x v="0"/>
    <s v="Renault"/>
    <n v="2023"/>
    <n v="129000"/>
    <x v="0"/>
    <x v="12"/>
    <n v="12"/>
    <n v="2280"/>
    <n v="0.05"/>
    <n v="6450"/>
    <n v="8730"/>
    <x v="0"/>
    <n v="22"/>
    <m/>
    <m/>
    <m/>
    <m/>
  </r>
  <r>
    <n v="14"/>
    <x v="13"/>
    <x v="13"/>
    <s v="AB00014"/>
    <x v="4"/>
    <x v="1"/>
    <s v="Toyota"/>
    <n v="2010"/>
    <n v="132000"/>
    <x v="1"/>
    <x v="13"/>
    <n v="12"/>
    <n v="2340"/>
    <n v="0.06"/>
    <n v="7920"/>
    <n v="10260"/>
    <x v="0"/>
    <n v="16"/>
    <m/>
    <m/>
    <m/>
    <m/>
  </r>
  <r>
    <n v="15"/>
    <x v="14"/>
    <x v="14"/>
    <s v="AB00015"/>
    <x v="3"/>
    <x v="2"/>
    <s v="Hyundai"/>
    <n v="2011"/>
    <n v="135000"/>
    <x v="2"/>
    <x v="14"/>
    <n v="12"/>
    <n v="2400"/>
    <n v="0.03"/>
    <n v="4050"/>
    <n v="6450"/>
    <x v="0"/>
    <n v="26"/>
    <m/>
    <m/>
    <m/>
    <m/>
  </r>
  <r>
    <n v="16"/>
    <x v="15"/>
    <x v="15"/>
    <s v="AB00016"/>
    <x v="2"/>
    <x v="0"/>
    <s v="Ford"/>
    <n v="2012"/>
    <n v="138000"/>
    <x v="0"/>
    <x v="15"/>
    <n v="12"/>
    <n v="2460"/>
    <n v="0.05"/>
    <n v="6900"/>
    <n v="9360"/>
    <x v="0"/>
    <n v="19"/>
    <m/>
    <m/>
    <m/>
    <m/>
  </r>
  <r>
    <n v="17"/>
    <x v="16"/>
    <x v="16"/>
    <s v="AB00017"/>
    <x v="1"/>
    <x v="1"/>
    <s v="Peugeot"/>
    <n v="2013"/>
    <n v="141000"/>
    <x v="1"/>
    <x v="16"/>
    <n v="12"/>
    <n v="2520"/>
    <n v="0.06"/>
    <n v="8460"/>
    <n v="10980"/>
    <x v="0"/>
    <n v="14"/>
    <m/>
    <m/>
    <m/>
    <m/>
  </r>
  <r>
    <n v="18"/>
    <x v="17"/>
    <x v="17"/>
    <s v="AB00018"/>
    <x v="0"/>
    <x v="2"/>
    <s v="Dacia"/>
    <n v="2014"/>
    <n v="144000"/>
    <x v="2"/>
    <x v="17"/>
    <n v="12"/>
    <n v="2580"/>
    <n v="0.03"/>
    <n v="4320"/>
    <n v="6900"/>
    <x v="0"/>
    <n v="23"/>
    <m/>
    <m/>
    <m/>
    <m/>
  </r>
  <r>
    <n v="19"/>
    <x v="18"/>
    <x v="18"/>
    <s v="AB00019"/>
    <x v="4"/>
    <x v="0"/>
    <s v="Renault"/>
    <n v="2015"/>
    <n v="147000"/>
    <x v="0"/>
    <x v="18"/>
    <n v="12"/>
    <n v="2640"/>
    <n v="0.05"/>
    <n v="7350"/>
    <n v="9990"/>
    <x v="0"/>
    <n v="16"/>
    <m/>
    <m/>
    <m/>
    <m/>
  </r>
  <r>
    <n v="20"/>
    <x v="19"/>
    <x v="19"/>
    <s v="AB00020"/>
    <x v="3"/>
    <x v="1"/>
    <s v="Toyota"/>
    <n v="2016"/>
    <n v="150000"/>
    <x v="1"/>
    <x v="19"/>
    <n v="12"/>
    <n v="2700"/>
    <n v="0.06"/>
    <n v="9000"/>
    <n v="11700"/>
    <x v="0"/>
    <n v="12"/>
    <m/>
    <m/>
    <m/>
    <m/>
  </r>
  <r>
    <n v="21"/>
    <x v="20"/>
    <x v="20"/>
    <s v="AB00021"/>
    <x v="2"/>
    <x v="2"/>
    <s v="Hyundai"/>
    <n v="2017"/>
    <n v="153000"/>
    <x v="2"/>
    <x v="20"/>
    <n v="12"/>
    <n v="2760"/>
    <n v="0.03"/>
    <n v="4590"/>
    <n v="7350"/>
    <x v="0"/>
    <n v="20"/>
    <m/>
    <m/>
    <m/>
    <m/>
  </r>
  <r>
    <n v="22"/>
    <x v="21"/>
    <x v="21"/>
    <s v="AB00022"/>
    <x v="1"/>
    <x v="0"/>
    <s v="Ford"/>
    <n v="2018"/>
    <n v="156000"/>
    <x v="0"/>
    <x v="21"/>
    <n v="12"/>
    <n v="2820"/>
    <n v="0.05"/>
    <n v="7800"/>
    <n v="10620"/>
    <x v="0"/>
    <n v="13"/>
    <m/>
    <m/>
    <m/>
    <m/>
  </r>
  <r>
    <n v="23"/>
    <x v="22"/>
    <x v="22"/>
    <s v="AB00023"/>
    <x v="4"/>
    <x v="1"/>
    <s v="Peugeot"/>
    <n v="2019"/>
    <n v="159000"/>
    <x v="1"/>
    <x v="22"/>
    <n v="12"/>
    <n v="2880"/>
    <n v="0.06"/>
    <n v="9540"/>
    <n v="12420"/>
    <x v="0"/>
    <n v="10"/>
    <m/>
    <m/>
    <m/>
    <m/>
  </r>
  <r>
    <n v="24"/>
    <x v="23"/>
    <x v="23"/>
    <s v="AB00024"/>
    <x v="2"/>
    <x v="2"/>
    <s v="Dacia"/>
    <n v="2020"/>
    <n v="162000"/>
    <x v="2"/>
    <x v="23"/>
    <n v="12"/>
    <n v="2940"/>
    <n v="0.03"/>
    <n v="4860"/>
    <n v="7800"/>
    <x v="0"/>
    <n v="17"/>
    <m/>
    <m/>
    <m/>
    <m/>
  </r>
  <r>
    <n v="25"/>
    <x v="24"/>
    <x v="24"/>
    <s v="AB00025"/>
    <x v="3"/>
    <x v="0"/>
    <s v="Renault"/>
    <n v="2021"/>
    <n v="165000"/>
    <x v="0"/>
    <x v="24"/>
    <n v="12"/>
    <n v="3000"/>
    <n v="0.05"/>
    <n v="8250"/>
    <n v="11250"/>
    <x v="0"/>
    <n v="11"/>
    <m/>
    <m/>
    <m/>
    <m/>
  </r>
  <r>
    <n v="26"/>
    <x v="25"/>
    <x v="25"/>
    <s v="AB00026"/>
    <x v="0"/>
    <x v="1"/>
    <s v="Toyota"/>
    <n v="2022"/>
    <n v="168000"/>
    <x v="1"/>
    <x v="25"/>
    <n v="12"/>
    <n v="3060"/>
    <n v="0.06"/>
    <n v="10080"/>
    <n v="13140"/>
    <x v="0"/>
    <n v="7"/>
    <m/>
    <m/>
    <m/>
    <m/>
  </r>
  <r>
    <n v="27"/>
    <x v="26"/>
    <x v="26"/>
    <s v="AB00027"/>
    <x v="4"/>
    <x v="2"/>
    <s v="Hyundai"/>
    <n v="2023"/>
    <n v="171000"/>
    <x v="2"/>
    <x v="26"/>
    <n v="12"/>
    <n v="3120"/>
    <n v="0.03"/>
    <n v="5130"/>
    <n v="8250"/>
    <x v="0"/>
    <n v="14"/>
    <m/>
    <m/>
    <m/>
    <m/>
  </r>
  <r>
    <n v="28"/>
    <x v="27"/>
    <x v="27"/>
    <s v="AB00028"/>
    <x v="1"/>
    <x v="0"/>
    <s v="Ford"/>
    <n v="2010"/>
    <n v="174000"/>
    <x v="0"/>
    <x v="27"/>
    <n v="12"/>
    <n v="3180"/>
    <n v="0.05"/>
    <n v="8700"/>
    <n v="11880"/>
    <x v="0"/>
    <n v="9"/>
    <m/>
    <m/>
    <m/>
    <m/>
  </r>
  <r>
    <n v="29"/>
    <x v="28"/>
    <x v="28"/>
    <s v="AB00029"/>
    <x v="2"/>
    <x v="1"/>
    <s v="Peugeot"/>
    <n v="2011"/>
    <n v="177000"/>
    <x v="1"/>
    <x v="0"/>
    <n v="12"/>
    <n v="3240"/>
    <n v="0.06"/>
    <n v="10620"/>
    <n v="13860"/>
    <x v="0"/>
    <n v="5"/>
    <m/>
    <m/>
    <m/>
    <m/>
  </r>
  <r>
    <n v="30"/>
    <x v="29"/>
    <x v="29"/>
    <s v="AB00030"/>
    <x v="3"/>
    <x v="2"/>
    <s v="Dacia"/>
    <n v="2012"/>
    <n v="180000"/>
    <x v="2"/>
    <x v="1"/>
    <n v="12"/>
    <n v="3300"/>
    <n v="0.03"/>
    <n v="5400"/>
    <n v="8700"/>
    <x v="0"/>
    <n v="11"/>
    <m/>
    <m/>
    <m/>
    <m/>
  </r>
  <r>
    <n v="31"/>
    <x v="30"/>
    <x v="30"/>
    <s v="AB00031"/>
    <x v="4"/>
    <x v="0"/>
    <s v="Renault"/>
    <n v="2013"/>
    <n v="183000"/>
    <x v="0"/>
    <x v="2"/>
    <n v="12"/>
    <n v="3360"/>
    <n v="0.05"/>
    <n v="9150"/>
    <n v="12510"/>
    <x v="0"/>
    <n v="7"/>
    <m/>
    <m/>
    <m/>
    <m/>
  </r>
  <r>
    <n v="32"/>
    <x v="31"/>
    <x v="31"/>
    <s v="AB00032"/>
    <x v="1"/>
    <x v="1"/>
    <s v="Toyota"/>
    <n v="2014"/>
    <n v="186000"/>
    <x v="1"/>
    <x v="3"/>
    <n v="12"/>
    <n v="3420"/>
    <n v="0.06"/>
    <n v="11160"/>
    <n v="14580"/>
    <x v="0"/>
    <n v="3"/>
    <m/>
    <m/>
    <m/>
    <m/>
  </r>
  <r>
    <n v="33"/>
    <x v="32"/>
    <x v="32"/>
    <s v="AB00033"/>
    <x v="2"/>
    <x v="2"/>
    <s v="Hyundai"/>
    <n v="2015"/>
    <n v="189000"/>
    <x v="2"/>
    <x v="4"/>
    <n v="12"/>
    <n v="3480"/>
    <n v="0.03"/>
    <n v="5670"/>
    <n v="9150"/>
    <x v="0"/>
    <n v="8"/>
    <m/>
    <m/>
    <m/>
    <m/>
  </r>
  <r>
    <n v="34"/>
    <x v="33"/>
    <x v="33"/>
    <s v="AB00034"/>
    <x v="3"/>
    <x v="0"/>
    <s v="Ford"/>
    <n v="2016"/>
    <n v="192000"/>
    <x v="0"/>
    <x v="5"/>
    <n v="12"/>
    <n v="3540"/>
    <n v="0.05"/>
    <n v="9600"/>
    <n v="13140"/>
    <x v="0"/>
    <n v="5"/>
    <m/>
    <m/>
    <m/>
    <m/>
  </r>
  <r>
    <n v="35"/>
    <x v="34"/>
    <x v="34"/>
    <s v="AB00035"/>
    <x v="0"/>
    <x v="1"/>
    <s v="Peugeot"/>
    <n v="2017"/>
    <n v="195000"/>
    <x v="1"/>
    <x v="6"/>
    <n v="12"/>
    <n v="3600"/>
    <n v="0.06"/>
    <n v="11700"/>
    <n v="15300"/>
    <x v="0"/>
    <n v="2"/>
    <m/>
    <m/>
    <m/>
    <m/>
  </r>
  <r>
    <n v="36"/>
    <x v="35"/>
    <x v="35"/>
    <s v="AB00036"/>
    <x v="4"/>
    <x v="2"/>
    <s v="Dacia"/>
    <n v="2018"/>
    <n v="198000"/>
    <x v="2"/>
    <x v="7"/>
    <n v="12"/>
    <n v="3660"/>
    <n v="0.03"/>
    <n v="5940"/>
    <n v="9600"/>
    <x v="0"/>
    <n v="5"/>
    <m/>
    <m/>
    <m/>
    <m/>
  </r>
  <r>
    <n v="37"/>
    <x v="36"/>
    <x v="36"/>
    <s v="AB00037"/>
    <x v="1"/>
    <x v="0"/>
    <s v="Renault"/>
    <n v="2019"/>
    <n v="201000"/>
    <x v="0"/>
    <x v="8"/>
    <n v="12"/>
    <n v="3720"/>
    <n v="0.05"/>
    <n v="10050"/>
    <n v="13770"/>
    <x v="0"/>
    <n v="3"/>
    <m/>
    <m/>
    <m/>
    <m/>
  </r>
  <r>
    <n v="38"/>
    <x v="37"/>
    <x v="37"/>
    <s v="AB00038"/>
    <x v="2"/>
    <x v="1"/>
    <s v="Toyota"/>
    <n v="2020"/>
    <n v="204000"/>
    <x v="1"/>
    <x v="9"/>
    <n v="12"/>
    <n v="3780"/>
    <n v="0.06"/>
    <n v="12240"/>
    <n v="16020"/>
    <x v="0"/>
    <n v="1"/>
    <m/>
    <m/>
    <m/>
    <m/>
  </r>
  <r>
    <n v="39"/>
    <x v="38"/>
    <x v="38"/>
    <s v="AB00039"/>
    <x v="3"/>
    <x v="2"/>
    <s v="Hyundai"/>
    <n v="2021"/>
    <n v="207000"/>
    <x v="2"/>
    <x v="10"/>
    <n v="12"/>
    <n v="3840"/>
    <n v="0.03"/>
    <n v="6210"/>
    <n v="10050"/>
    <x v="0"/>
    <n v="2"/>
    <m/>
    <m/>
    <m/>
    <m/>
  </r>
  <r>
    <n v="40"/>
    <x v="39"/>
    <x v="39"/>
    <s v="AB00040"/>
    <x v="0"/>
    <x v="0"/>
    <s v="Ford"/>
    <n v="2022"/>
    <n v="210000"/>
    <x v="0"/>
    <x v="11"/>
    <n v="12"/>
    <n v="3900"/>
    <n v="0.05"/>
    <n v="10500"/>
    <n v="14400"/>
    <x v="0"/>
    <n v="1"/>
    <m/>
    <m/>
    <m/>
    <m/>
  </r>
  <r>
    <m/>
    <x v="40"/>
    <x v="40"/>
    <m/>
    <x v="6"/>
    <x v="3"/>
    <m/>
    <m/>
    <m/>
    <x v="3"/>
    <x v="28"/>
    <m/>
    <m/>
    <m/>
    <m/>
    <m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25012-FE75-46FD-80E2-29DCCFD936CC}" name="Tableau croisé dynamique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9">
  <location ref="A3:B8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Prime_Totale" fld="15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6D160-BA29-4D83-BFB6-E6AFFBFFDBB4}" name="Tableau croisé dynamique8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D12:E15" firstHeaderRow="1" firstDataRow="1" firstDataCol="1"/>
  <pivotFields count="22">
    <pivotField showAll="0"/>
    <pivotField showAll="0" measureFilter="1">
      <items count="42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x="40"/>
        <item t="default"/>
      </items>
    </pivotField>
    <pivotField showAll="0">
      <items count="42">
        <item x="10"/>
        <item x="27"/>
        <item x="38"/>
        <item x="2"/>
        <item x="17"/>
        <item x="12"/>
        <item x="20"/>
        <item x="1"/>
        <item x="25"/>
        <item x="21"/>
        <item x="8"/>
        <item x="30"/>
        <item x="37"/>
        <item x="7"/>
        <item x="36"/>
        <item x="18"/>
        <item x="5"/>
        <item x="19"/>
        <item x="28"/>
        <item x="34"/>
        <item x="22"/>
        <item x="24"/>
        <item x="4"/>
        <item x="9"/>
        <item x="39"/>
        <item x="26"/>
        <item x="6"/>
        <item x="14"/>
        <item x="32"/>
        <item x="35"/>
        <item x="31"/>
        <item x="3"/>
        <item x="23"/>
        <item x="15"/>
        <item x="11"/>
        <item x="13"/>
        <item x="16"/>
        <item x="33"/>
        <item x="29"/>
        <item x="0"/>
        <item x="40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omme de Prime_Totale" fld="15" baseField="2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93A47-58CC-4D9A-B33E-3FC8CF4430C5}" name="Tableau croisé dynamique7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6">
  <location ref="D22:E28" firstHeaderRow="1" firstDataRow="1" firstDataCol="1"/>
  <pivotFields count="22">
    <pivotField showAll="0"/>
    <pivotField axis="axisRow" showAll="0" measureFilter="1">
      <items count="42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x="40"/>
        <item t="default"/>
      </items>
    </pivotField>
    <pivotField showAll="0">
      <items count="42">
        <item x="10"/>
        <item x="27"/>
        <item x="38"/>
        <item x="2"/>
        <item x="17"/>
        <item x="12"/>
        <item x="20"/>
        <item x="1"/>
        <item x="25"/>
        <item x="21"/>
        <item x="8"/>
        <item x="30"/>
        <item x="37"/>
        <item x="7"/>
        <item x="36"/>
        <item x="18"/>
        <item x="5"/>
        <item x="19"/>
        <item x="28"/>
        <item x="34"/>
        <item x="22"/>
        <item x="24"/>
        <item x="4"/>
        <item x="9"/>
        <item x="39"/>
        <item x="26"/>
        <item x="6"/>
        <item x="14"/>
        <item x="32"/>
        <item x="35"/>
        <item x="31"/>
        <item x="3"/>
        <item x="23"/>
        <item x="15"/>
        <item x="11"/>
        <item x="13"/>
        <item x="16"/>
        <item x="33"/>
        <item x="29"/>
        <item x="0"/>
        <item x="40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6"/>
    </i>
    <i>
      <x v="26"/>
    </i>
    <i>
      <x v="27"/>
    </i>
    <i>
      <x v="31"/>
    </i>
    <i t="grand">
      <x/>
    </i>
  </rowItems>
  <colItems count="1">
    <i/>
  </colItems>
  <dataFields count="1">
    <dataField name="Somme de Prime_Totale" fld="15" baseField="2" baseItem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71AC1-578B-417D-A982-FB9F16621DE8}" name="Tableau croisé dynamique5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6">
  <location ref="D4:F8" firstHeaderRow="0" firstDataRow="1" firstDataCol="1"/>
  <pivotFields count="22">
    <pivotField showAll="0"/>
    <pivotField dataField="1" showAll="0"/>
    <pivotField dataField="1"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Prénom" fld="2" subtotal="count" baseField="0" baseItem="0"/>
    <dataField name="Nombre de Nom" fld="1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8ABE3-B433-40B5-8387-BC9DCC9DDA7B}" name="Tableau croisé dynamique4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A22:B27" firstHeaderRow="1" firstDataRow="1" firstDataCol="1"/>
  <pivotFields count="22"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oyenne de Prime_Totale" fld="15" subtotal="average" baseField="5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49064-A150-4984-91F3-C0F488A6373C}" name="Tableau croisé dynamique2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5">
  <location ref="A11:B19" firstHeaderRow="1" firstDataRow="1" firstDataCol="1"/>
  <pivotFields count="22">
    <pivotField dataField="1" showAll="0"/>
    <pivotField showAll="0"/>
    <pivotField showAll="0"/>
    <pivotField showAll="0"/>
    <pivotField axis="axisRow" showAll="0">
      <items count="8">
        <item x="4"/>
        <item x="3"/>
        <item x="5"/>
        <item x="1"/>
        <item x="0"/>
        <item x="2"/>
        <item x="6"/>
        <item t="default"/>
      </items>
    </pivotField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ombre de ID_Client" fld="0" subtotal="count" baseField="4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BF66-6ECA-4FEC-9E75-25ADCB019601}">
  <dimension ref="A2:F28"/>
  <sheetViews>
    <sheetView workbookViewId="0">
      <selection activeCell="H8" sqref="H8:H11"/>
    </sheetView>
  </sheetViews>
  <sheetFormatPr baseColWidth="10" defaultRowHeight="14.4" x14ac:dyDescent="0.3"/>
  <cols>
    <col min="1" max="1" width="19.5546875" bestFit="1" customWidth="1"/>
    <col min="2" max="2" width="21.44140625" bestFit="1" customWidth="1"/>
    <col min="3" max="3" width="18.33203125" bestFit="1" customWidth="1"/>
    <col min="4" max="4" width="19.5546875" bestFit="1" customWidth="1"/>
    <col min="5" max="5" width="23.109375" bestFit="1" customWidth="1"/>
    <col min="6" max="6" width="17.33203125" bestFit="1" customWidth="1"/>
    <col min="7" max="7" width="14.6640625" bestFit="1" customWidth="1"/>
    <col min="8" max="8" width="19.5546875" bestFit="1" customWidth="1"/>
    <col min="9" max="9" width="21.44140625" bestFit="1" customWidth="1"/>
  </cols>
  <sheetData>
    <row r="2" spans="1:6" x14ac:dyDescent="0.3">
      <c r="A2">
        <v>1</v>
      </c>
    </row>
    <row r="3" spans="1:6" x14ac:dyDescent="0.3">
      <c r="A3" s="3" t="s">
        <v>163</v>
      </c>
      <c r="B3" t="s">
        <v>166</v>
      </c>
      <c r="D3">
        <v>4</v>
      </c>
    </row>
    <row r="4" spans="1:6" x14ac:dyDescent="0.3">
      <c r="A4" s="1" t="s">
        <v>36</v>
      </c>
      <c r="B4" s="4">
        <v>95550</v>
      </c>
      <c r="D4" s="3" t="s">
        <v>163</v>
      </c>
      <c r="E4" t="s">
        <v>172</v>
      </c>
      <c r="F4" t="s">
        <v>171</v>
      </c>
    </row>
    <row r="5" spans="1:6" x14ac:dyDescent="0.3">
      <c r="A5" s="1" t="s">
        <v>23</v>
      </c>
      <c r="B5" s="4">
        <v>144270</v>
      </c>
      <c r="D5" s="1" t="s">
        <v>170</v>
      </c>
      <c r="E5" s="4">
        <v>1</v>
      </c>
      <c r="F5" s="4">
        <v>1</v>
      </c>
    </row>
    <row r="6" spans="1:6" x14ac:dyDescent="0.3">
      <c r="A6" s="1" t="s">
        <v>29</v>
      </c>
      <c r="B6" s="4">
        <v>152100</v>
      </c>
      <c r="D6" s="1" t="s">
        <v>169</v>
      </c>
      <c r="E6" s="4">
        <v>39</v>
      </c>
      <c r="F6" s="4">
        <v>39</v>
      </c>
    </row>
    <row r="7" spans="1:6" x14ac:dyDescent="0.3">
      <c r="A7" s="1" t="s">
        <v>164</v>
      </c>
      <c r="B7" s="4"/>
      <c r="D7" s="1" t="s">
        <v>164</v>
      </c>
      <c r="E7" s="4"/>
      <c r="F7" s="4"/>
    </row>
    <row r="8" spans="1:6" x14ac:dyDescent="0.3">
      <c r="A8" s="1" t="s">
        <v>165</v>
      </c>
      <c r="B8" s="4">
        <v>391920</v>
      </c>
      <c r="D8" s="1" t="s">
        <v>165</v>
      </c>
      <c r="E8" s="4">
        <v>40</v>
      </c>
      <c r="F8" s="4">
        <v>40</v>
      </c>
    </row>
    <row r="10" spans="1:6" x14ac:dyDescent="0.3">
      <c r="A10">
        <v>2</v>
      </c>
    </row>
    <row r="11" spans="1:6" x14ac:dyDescent="0.3">
      <c r="A11" s="3" t="s">
        <v>163</v>
      </c>
      <c r="B11" t="s">
        <v>167</v>
      </c>
      <c r="D11">
        <v>5</v>
      </c>
    </row>
    <row r="12" spans="1:6" x14ac:dyDescent="0.3">
      <c r="A12" s="1" t="s">
        <v>50</v>
      </c>
      <c r="B12" s="4">
        <v>8</v>
      </c>
      <c r="D12" s="3" t="s">
        <v>163</v>
      </c>
      <c r="E12" t="s">
        <v>166</v>
      </c>
    </row>
    <row r="13" spans="1:6" x14ac:dyDescent="0.3">
      <c r="A13" s="1" t="s">
        <v>45</v>
      </c>
      <c r="B13" s="4">
        <v>8</v>
      </c>
      <c r="D13" s="1" t="s">
        <v>164</v>
      </c>
      <c r="E13" s="4"/>
    </row>
    <row r="14" spans="1:6" x14ac:dyDescent="0.3">
      <c r="A14" s="1" t="s">
        <v>58</v>
      </c>
      <c r="B14" s="4">
        <v>1</v>
      </c>
      <c r="D14" s="1" t="s">
        <v>173</v>
      </c>
      <c r="E14" s="4">
        <v>391920</v>
      </c>
    </row>
    <row r="15" spans="1:6" x14ac:dyDescent="0.3">
      <c r="A15" s="1" t="s">
        <v>33</v>
      </c>
      <c r="B15" s="4">
        <v>8</v>
      </c>
      <c r="D15" s="1" t="s">
        <v>165</v>
      </c>
      <c r="E15" s="4">
        <v>391920</v>
      </c>
    </row>
    <row r="16" spans="1:6" x14ac:dyDescent="0.3">
      <c r="A16" s="1" t="s">
        <v>20</v>
      </c>
      <c r="B16" s="4">
        <v>7</v>
      </c>
    </row>
    <row r="17" spans="1:5" x14ac:dyDescent="0.3">
      <c r="A17" s="1" t="s">
        <v>40</v>
      </c>
      <c r="B17" s="4">
        <v>8</v>
      </c>
    </row>
    <row r="18" spans="1:5" x14ac:dyDescent="0.3">
      <c r="A18" s="1" t="s">
        <v>164</v>
      </c>
      <c r="B18" s="4"/>
    </row>
    <row r="19" spans="1:5" x14ac:dyDescent="0.3">
      <c r="A19" s="1" t="s">
        <v>165</v>
      </c>
      <c r="B19" s="4">
        <v>40</v>
      </c>
    </row>
    <row r="21" spans="1:5" x14ac:dyDescent="0.3">
      <c r="A21">
        <v>3</v>
      </c>
      <c r="D21">
        <v>6</v>
      </c>
    </row>
    <row r="22" spans="1:5" x14ac:dyDescent="0.3">
      <c r="A22" s="3" t="s">
        <v>163</v>
      </c>
      <c r="B22" t="s">
        <v>168</v>
      </c>
      <c r="D22" s="3" t="s">
        <v>163</v>
      </c>
      <c r="E22" t="s">
        <v>166</v>
      </c>
    </row>
    <row r="23" spans="1:5" x14ac:dyDescent="0.3">
      <c r="A23" s="1" t="s">
        <v>27</v>
      </c>
      <c r="B23" s="4">
        <v>11700</v>
      </c>
      <c r="D23" s="1" t="s">
        <v>152</v>
      </c>
      <c r="E23" s="4">
        <v>14400</v>
      </c>
    </row>
    <row r="24" spans="1:5" x14ac:dyDescent="0.3">
      <c r="A24" s="1" t="s">
        <v>21</v>
      </c>
      <c r="B24" s="4">
        <v>10305</v>
      </c>
      <c r="D24" s="1" t="s">
        <v>128</v>
      </c>
      <c r="E24" s="4">
        <v>14580</v>
      </c>
    </row>
    <row r="25" spans="1:5" x14ac:dyDescent="0.3">
      <c r="A25" s="1" t="s">
        <v>34</v>
      </c>
      <c r="B25" s="4">
        <v>7350</v>
      </c>
      <c r="D25" s="1" t="s">
        <v>146</v>
      </c>
      <c r="E25" s="4">
        <v>16020</v>
      </c>
    </row>
    <row r="26" spans="1:5" x14ac:dyDescent="0.3">
      <c r="A26" s="1" t="s">
        <v>164</v>
      </c>
      <c r="B26" s="4"/>
      <c r="D26" s="1" t="s">
        <v>119</v>
      </c>
      <c r="E26" s="4">
        <v>13860</v>
      </c>
    </row>
    <row r="27" spans="1:5" x14ac:dyDescent="0.3">
      <c r="A27" s="1" t="s">
        <v>165</v>
      </c>
      <c r="B27" s="4">
        <v>9798</v>
      </c>
      <c r="D27" s="1" t="s">
        <v>137</v>
      </c>
      <c r="E27" s="4">
        <v>15300</v>
      </c>
    </row>
    <row r="28" spans="1:5" x14ac:dyDescent="0.3">
      <c r="D28" s="1" t="s">
        <v>165</v>
      </c>
      <c r="E28" s="4">
        <v>74160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9885B-8398-46FD-965D-45BC21E69DA9}">
  <dimension ref="A1:Q197"/>
  <sheetViews>
    <sheetView tabSelected="1" workbookViewId="0">
      <selection sqref="A1:Q197"/>
    </sheetView>
  </sheetViews>
  <sheetFormatPr baseColWidth="10" defaultRowHeight="14.4" x14ac:dyDescent="0.3"/>
  <cols>
    <col min="17" max="17" width="21.77734375" customWidth="1"/>
  </cols>
  <sheetData>
    <row r="1" spans="1:17" x14ac:dyDescent="0.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7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7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1:17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7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spans="1:17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1:17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spans="1:17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spans="1:17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spans="1:17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spans="1:17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17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spans="1:17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1:17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</row>
    <row r="26" spans="1:17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 spans="1:17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spans="1:17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17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spans="1:17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spans="1:17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17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1:17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17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1:17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1:17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 spans="1:17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 spans="1:17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 spans="1:17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</row>
    <row r="44" spans="1:17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</row>
    <row r="45" spans="1:17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</row>
    <row r="46" spans="1:17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1:17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1:17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17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17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17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17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17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17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17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17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17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17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 spans="1:17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</row>
    <row r="60" spans="1:17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 spans="1:17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17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17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17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17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1:17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</row>
    <row r="67" spans="1:17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</row>
    <row r="68" spans="1:17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</row>
    <row r="69" spans="1:17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</row>
    <row r="70" spans="1:17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</row>
    <row r="71" spans="1:17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</row>
    <row r="72" spans="1:17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</row>
    <row r="73" spans="1:17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</row>
    <row r="74" spans="1:17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</row>
    <row r="75" spans="1:17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</row>
    <row r="76" spans="1:17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</row>
    <row r="77" spans="1:17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</row>
    <row r="78" spans="1:17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</row>
    <row r="79" spans="1:17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</row>
    <row r="80" spans="1:17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</row>
    <row r="81" spans="1:17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</row>
    <row r="82" spans="1:17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</row>
    <row r="83" spans="1:17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</row>
    <row r="84" spans="1:17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</row>
    <row r="85" spans="1:17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</row>
    <row r="86" spans="1:17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</row>
    <row r="87" spans="1:17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</row>
    <row r="88" spans="1:17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</row>
    <row r="89" spans="1:17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</row>
    <row r="90" spans="1:17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</row>
    <row r="91" spans="1:17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17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17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17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17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17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17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17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17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17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17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17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</row>
    <row r="103" spans="1:17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</row>
    <row r="104" spans="1:17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</row>
    <row r="105" spans="1:17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17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17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17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17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17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17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17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17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17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17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17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17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17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17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17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17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17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</row>
    <row r="123" spans="1:17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</row>
    <row r="124" spans="1:17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</row>
    <row r="125" spans="1:17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17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17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17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17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17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17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17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17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</row>
    <row r="134" spans="1:17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</row>
    <row r="135" spans="1:17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</row>
    <row r="136" spans="1:17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</row>
    <row r="137" spans="1:17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</row>
    <row r="138" spans="1:17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</row>
    <row r="139" spans="1:17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</row>
    <row r="140" spans="1:17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</row>
    <row r="141" spans="1:17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</row>
    <row r="142" spans="1:17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</row>
    <row r="143" spans="1:17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</row>
    <row r="144" spans="1:17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</row>
    <row r="145" spans="1:17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17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17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17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17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17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 spans="1:17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</row>
    <row r="152" spans="1:17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</row>
    <row r="153" spans="1:17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</row>
    <row r="154" spans="1:17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</row>
    <row r="155" spans="1:17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</row>
    <row r="156" spans="1:17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</row>
    <row r="157" spans="1:17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</row>
    <row r="158" spans="1:17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</row>
    <row r="159" spans="1:17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</row>
    <row r="160" spans="1:17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</row>
    <row r="161" spans="1:17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</row>
    <row r="162" spans="1:17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</row>
    <row r="163" spans="1:17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</row>
    <row r="164" spans="1:17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</row>
    <row r="165" spans="1:17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</row>
    <row r="166" spans="1:17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</row>
    <row r="167" spans="1:17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17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17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17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17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17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17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17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17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spans="1:17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spans="1:17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</row>
    <row r="178" spans="1:17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17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17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17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17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17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17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17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 spans="1:17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</row>
    <row r="187" spans="1:17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</row>
    <row r="188" spans="1:17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</row>
    <row r="189" spans="1:17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</row>
    <row r="190" spans="1:17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</row>
    <row r="191" spans="1:17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</row>
    <row r="192" spans="1:17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</row>
    <row r="193" spans="1:17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</row>
    <row r="194" spans="1:17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</row>
    <row r="195" spans="1:17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</row>
    <row r="196" spans="1:17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</row>
    <row r="197" spans="1:17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</row>
  </sheetData>
  <mergeCells count="1">
    <mergeCell ref="A1:Q19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1"/>
  <sheetViews>
    <sheetView zoomScale="75" zoomScaleNormal="85" workbookViewId="0">
      <selection activeCell="O8" sqref="O8"/>
    </sheetView>
  </sheetViews>
  <sheetFormatPr baseColWidth="10" defaultColWidth="8.88671875" defaultRowHeight="14.4" x14ac:dyDescent="0.3"/>
  <cols>
    <col min="1" max="1" width="8.44140625" bestFit="1" customWidth="1"/>
    <col min="2" max="2" width="11.6640625" style="1" bestFit="1" customWidth="1"/>
    <col min="3" max="3" width="10.109375" style="1" bestFit="1" customWidth="1"/>
    <col min="4" max="4" width="8.21875" style="1" bestFit="1" customWidth="1"/>
    <col min="5" max="5" width="10.21875" style="1" bestFit="1" customWidth="1"/>
    <col min="6" max="6" width="12.77734375" style="1" bestFit="1" customWidth="1"/>
    <col min="7" max="7" width="7.6640625" style="1" bestFit="1" customWidth="1"/>
    <col min="8" max="8" width="14" bestFit="1" customWidth="1"/>
    <col min="9" max="10" width="14.109375" bestFit="1" customWidth="1"/>
    <col min="11" max="11" width="15.88671875" bestFit="1" customWidth="1"/>
    <col min="12" max="12" width="5.88671875" bestFit="1" customWidth="1"/>
    <col min="13" max="13" width="10.5546875" bestFit="1" customWidth="1"/>
    <col min="14" max="14" width="11.21875" bestFit="1" customWidth="1"/>
    <col min="15" max="15" width="14.44140625" bestFit="1" customWidth="1"/>
    <col min="16" max="16" width="11.88671875" bestFit="1" customWidth="1"/>
    <col min="17" max="17" width="11.5546875" bestFit="1" customWidth="1"/>
    <col min="18" max="18" width="12.21875" customWidth="1"/>
    <col min="19" max="19" width="13.77734375" customWidth="1"/>
    <col min="20" max="20" width="15.21875" customWidth="1"/>
    <col min="21" max="21" width="29.33203125" customWidth="1"/>
    <col min="22" max="22" width="21.44140625" customWidth="1"/>
  </cols>
  <sheetData>
    <row r="1" spans="1:57" s="2" customFormat="1" ht="26.55" customHeigh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157</v>
      </c>
      <c r="S1" s="7" t="s">
        <v>155</v>
      </c>
      <c r="T1" s="7" t="s">
        <v>156</v>
      </c>
      <c r="U1" s="7" t="s">
        <v>158</v>
      </c>
      <c r="V1" s="7" t="s">
        <v>159</v>
      </c>
      <c r="W1" s="8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</row>
    <row r="2" spans="1:57" x14ac:dyDescent="0.3">
      <c r="A2" s="9">
        <v>1</v>
      </c>
      <c r="B2" s="10" t="s">
        <v>17</v>
      </c>
      <c r="C2" s="10" t="s">
        <v>18</v>
      </c>
      <c r="D2" s="10" t="s">
        <v>19</v>
      </c>
      <c r="E2" s="10" t="s">
        <v>20</v>
      </c>
      <c r="F2" s="10" t="s">
        <v>21</v>
      </c>
      <c r="G2" s="10" t="s">
        <v>22</v>
      </c>
      <c r="H2" s="9">
        <v>2011</v>
      </c>
      <c r="I2" s="9">
        <v>93000</v>
      </c>
      <c r="J2" s="9" t="s">
        <v>23</v>
      </c>
      <c r="K2" s="11">
        <v>45659</v>
      </c>
      <c r="L2" s="9">
        <v>12</v>
      </c>
      <c r="M2" s="9">
        <v>1560</v>
      </c>
      <c r="N2" s="12">
        <f>IF(F2="Moto",5%,IF(F2="Voiture",3%,6%))</f>
        <v>0.05</v>
      </c>
      <c r="O2" s="9">
        <f>I2*N2</f>
        <v>4650</v>
      </c>
      <c r="P2" s="9">
        <f>M2+O2</f>
        <v>6210</v>
      </c>
      <c r="Q2" s="9" t="str">
        <f>IF(P2&lt;2000,"Standard",IF(P2&lt;5000,"Premium","VIP"))</f>
        <v>VIP</v>
      </c>
      <c r="R2" s="13">
        <f>RANK(P2,P2:P41,0)</f>
        <v>36</v>
      </c>
      <c r="S2" s="13">
        <f>COUNTIF(J:J,"Tous Risques")</f>
        <v>13</v>
      </c>
      <c r="T2" s="13">
        <f>COUNTIF(F:F,"Voiture")</f>
        <v>13</v>
      </c>
      <c r="U2" s="13">
        <f>SUMIF(E:E,"Ouarzazate",P:P)</f>
        <v>72060</v>
      </c>
      <c r="V2" s="14">
        <f>SUMIF(F:F,"Camion",P:P)</f>
        <v>152100</v>
      </c>
    </row>
    <row r="3" spans="1:57" x14ac:dyDescent="0.3">
      <c r="A3" s="9">
        <v>2</v>
      </c>
      <c r="B3" s="10" t="s">
        <v>24</v>
      </c>
      <c r="C3" s="10" t="s">
        <v>25</v>
      </c>
      <c r="D3" s="10" t="s">
        <v>26</v>
      </c>
      <c r="E3" s="10" t="s">
        <v>20</v>
      </c>
      <c r="F3" s="10" t="s">
        <v>27</v>
      </c>
      <c r="G3" s="10" t="s">
        <v>28</v>
      </c>
      <c r="H3" s="9">
        <v>2012</v>
      </c>
      <c r="I3" s="9">
        <v>96000</v>
      </c>
      <c r="J3" s="9" t="s">
        <v>29</v>
      </c>
      <c r="K3" s="11">
        <v>45660</v>
      </c>
      <c r="L3" s="9">
        <v>12</v>
      </c>
      <c r="M3" s="9">
        <v>1620</v>
      </c>
      <c r="N3" s="12">
        <f t="shared" ref="N3:N41" si="0">IF(F3="Moto",5%,IF(F3="Voiture",3%,6%))</f>
        <v>0.06</v>
      </c>
      <c r="O3" s="9">
        <f t="shared" ref="O3:O41" si="1">I3*N3</f>
        <v>5760</v>
      </c>
      <c r="P3" s="9">
        <f t="shared" ref="P3:P41" si="2">M3+O3</f>
        <v>7380</v>
      </c>
      <c r="Q3" s="9" t="str">
        <f t="shared" ref="Q3:Q41" si="3">IF(P3&lt;2000,"Standard",IF(P3&lt;5000,"Premium","VIP"))</f>
        <v>VIP</v>
      </c>
      <c r="R3" s="13">
        <f t="shared" ref="R3:R41" si="4">RANK(P3,P3:P42,0)</f>
        <v>31</v>
      </c>
    </row>
    <row r="4" spans="1:57" x14ac:dyDescent="0.3">
      <c r="A4" s="9">
        <v>3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9">
        <v>2013</v>
      </c>
      <c r="I4" s="9">
        <v>99000</v>
      </c>
      <c r="J4" s="9" t="s">
        <v>36</v>
      </c>
      <c r="K4" s="11">
        <v>45661</v>
      </c>
      <c r="L4" s="9">
        <v>12</v>
      </c>
      <c r="M4" s="9">
        <v>1680</v>
      </c>
      <c r="N4" s="12">
        <f t="shared" si="0"/>
        <v>0.03</v>
      </c>
      <c r="O4" s="9">
        <f t="shared" si="1"/>
        <v>2970</v>
      </c>
      <c r="P4" s="9">
        <f t="shared" si="2"/>
        <v>4650</v>
      </c>
      <c r="Q4" s="9" t="str">
        <f t="shared" si="3"/>
        <v>Premium</v>
      </c>
      <c r="R4" s="13">
        <f t="shared" si="4"/>
        <v>38</v>
      </c>
    </row>
    <row r="5" spans="1:57" x14ac:dyDescent="0.3">
      <c r="A5" s="9">
        <v>4</v>
      </c>
      <c r="B5" s="10" t="s">
        <v>37</v>
      </c>
      <c r="C5" s="10" t="s">
        <v>38</v>
      </c>
      <c r="D5" s="10" t="s">
        <v>39</v>
      </c>
      <c r="E5" s="10" t="s">
        <v>40</v>
      </c>
      <c r="F5" s="10" t="s">
        <v>21</v>
      </c>
      <c r="G5" s="10" t="s">
        <v>41</v>
      </c>
      <c r="H5" s="9">
        <v>2014</v>
      </c>
      <c r="I5" s="9">
        <v>102000</v>
      </c>
      <c r="J5" s="9" t="s">
        <v>23</v>
      </c>
      <c r="K5" s="11">
        <v>45662</v>
      </c>
      <c r="L5" s="9">
        <v>12</v>
      </c>
      <c r="M5" s="9">
        <v>1740</v>
      </c>
      <c r="N5" s="12">
        <f t="shared" si="0"/>
        <v>0.05</v>
      </c>
      <c r="O5" s="9">
        <f t="shared" si="1"/>
        <v>5100</v>
      </c>
      <c r="P5" s="9">
        <f t="shared" si="2"/>
        <v>6840</v>
      </c>
      <c r="Q5" s="9" t="str">
        <f t="shared" si="3"/>
        <v>VIP</v>
      </c>
      <c r="R5" s="13">
        <f t="shared" si="4"/>
        <v>33</v>
      </c>
    </row>
    <row r="6" spans="1:57" x14ac:dyDescent="0.3">
      <c r="A6" s="9">
        <v>5</v>
      </c>
      <c r="B6" s="10" t="s">
        <v>42</v>
      </c>
      <c r="C6" s="10" t="s">
        <v>43</v>
      </c>
      <c r="D6" s="10" t="s">
        <v>44</v>
      </c>
      <c r="E6" s="10" t="s">
        <v>45</v>
      </c>
      <c r="F6" s="10" t="s">
        <v>27</v>
      </c>
      <c r="G6" s="10" t="s">
        <v>46</v>
      </c>
      <c r="H6" s="9">
        <v>2015</v>
      </c>
      <c r="I6" s="9">
        <v>105000</v>
      </c>
      <c r="J6" s="9" t="s">
        <v>29</v>
      </c>
      <c r="K6" s="11">
        <v>45663</v>
      </c>
      <c r="L6" s="9">
        <v>12</v>
      </c>
      <c r="M6" s="9">
        <v>1800</v>
      </c>
      <c r="N6" s="12">
        <f t="shared" si="0"/>
        <v>0.06</v>
      </c>
      <c r="O6" s="9">
        <f t="shared" si="1"/>
        <v>6300</v>
      </c>
      <c r="P6" s="9">
        <f t="shared" si="2"/>
        <v>8100</v>
      </c>
      <c r="Q6" s="9" t="str">
        <f t="shared" si="3"/>
        <v>VIP</v>
      </c>
      <c r="R6" s="13">
        <f t="shared" si="4"/>
        <v>27</v>
      </c>
    </row>
    <row r="7" spans="1:57" x14ac:dyDescent="0.3">
      <c r="A7" s="9">
        <v>6</v>
      </c>
      <c r="B7" s="10" t="s">
        <v>47</v>
      </c>
      <c r="C7" s="10" t="s">
        <v>48</v>
      </c>
      <c r="D7" s="10" t="s">
        <v>49</v>
      </c>
      <c r="E7" s="10" t="s">
        <v>50</v>
      </c>
      <c r="F7" s="10" t="s">
        <v>34</v>
      </c>
      <c r="G7" s="10" t="s">
        <v>51</v>
      </c>
      <c r="H7" s="9">
        <v>2016</v>
      </c>
      <c r="I7" s="9">
        <v>108000</v>
      </c>
      <c r="J7" s="9" t="s">
        <v>36</v>
      </c>
      <c r="K7" s="11">
        <v>45664</v>
      </c>
      <c r="L7" s="9">
        <v>12</v>
      </c>
      <c r="M7" s="9">
        <v>1860</v>
      </c>
      <c r="N7" s="12">
        <f t="shared" si="0"/>
        <v>0.03</v>
      </c>
      <c r="O7" s="9">
        <f t="shared" si="1"/>
        <v>3240</v>
      </c>
      <c r="P7" s="9">
        <f t="shared" si="2"/>
        <v>5100</v>
      </c>
      <c r="Q7" s="9" t="str">
        <f t="shared" si="3"/>
        <v>VIP</v>
      </c>
      <c r="R7" s="13">
        <f t="shared" si="4"/>
        <v>35</v>
      </c>
    </row>
    <row r="8" spans="1:57" x14ac:dyDescent="0.3">
      <c r="A8" s="9">
        <v>7</v>
      </c>
      <c r="B8" s="10" t="s">
        <v>52</v>
      </c>
      <c r="C8" s="10" t="s">
        <v>53</v>
      </c>
      <c r="D8" s="10" t="s">
        <v>54</v>
      </c>
      <c r="E8" s="10" t="s">
        <v>33</v>
      </c>
      <c r="F8" s="10" t="s">
        <v>21</v>
      </c>
      <c r="G8" s="10" t="s">
        <v>22</v>
      </c>
      <c r="H8" s="9">
        <v>2017</v>
      </c>
      <c r="I8" s="9">
        <v>111000</v>
      </c>
      <c r="J8" s="9" t="s">
        <v>23</v>
      </c>
      <c r="K8" s="11">
        <v>45665</v>
      </c>
      <c r="L8" s="9">
        <v>12</v>
      </c>
      <c r="M8" s="9">
        <v>1920</v>
      </c>
      <c r="N8" s="12">
        <f t="shared" si="0"/>
        <v>0.05</v>
      </c>
      <c r="O8" s="9">
        <f t="shared" si="1"/>
        <v>5550</v>
      </c>
      <c r="P8" s="9">
        <f t="shared" si="2"/>
        <v>7470</v>
      </c>
      <c r="Q8" s="9" t="str">
        <f t="shared" si="3"/>
        <v>VIP</v>
      </c>
      <c r="R8" s="13">
        <f t="shared" si="4"/>
        <v>29</v>
      </c>
    </row>
    <row r="9" spans="1:57" x14ac:dyDescent="0.3">
      <c r="A9" s="9">
        <v>8</v>
      </c>
      <c r="B9" s="10" t="s">
        <v>55</v>
      </c>
      <c r="C9" s="10" t="s">
        <v>56</v>
      </c>
      <c r="D9" s="10" t="s">
        <v>57</v>
      </c>
      <c r="E9" s="10" t="s">
        <v>58</v>
      </c>
      <c r="F9" s="10" t="s">
        <v>27</v>
      </c>
      <c r="G9" s="10" t="s">
        <v>28</v>
      </c>
      <c r="H9" s="9">
        <v>2018</v>
      </c>
      <c r="I9" s="9">
        <v>114000</v>
      </c>
      <c r="J9" s="9" t="s">
        <v>29</v>
      </c>
      <c r="K9" s="11">
        <v>45666</v>
      </c>
      <c r="L9" s="9">
        <v>12</v>
      </c>
      <c r="M9" s="9">
        <v>1980</v>
      </c>
      <c r="N9" s="12">
        <f t="shared" si="0"/>
        <v>0.06</v>
      </c>
      <c r="O9" s="9">
        <f t="shared" si="1"/>
        <v>6840</v>
      </c>
      <c r="P9" s="9">
        <f t="shared" si="2"/>
        <v>8820</v>
      </c>
      <c r="Q9" s="9" t="str">
        <f t="shared" si="3"/>
        <v>VIP</v>
      </c>
      <c r="R9" s="13">
        <f t="shared" si="4"/>
        <v>23</v>
      </c>
    </row>
    <row r="10" spans="1:57" x14ac:dyDescent="0.3">
      <c r="A10" s="9">
        <v>9</v>
      </c>
      <c r="B10" s="10" t="s">
        <v>59</v>
      </c>
      <c r="C10" s="10" t="s">
        <v>60</v>
      </c>
      <c r="D10" s="10" t="s">
        <v>61</v>
      </c>
      <c r="E10" s="10" t="s">
        <v>40</v>
      </c>
      <c r="F10" s="10" t="s">
        <v>34</v>
      </c>
      <c r="G10" s="10" t="s">
        <v>35</v>
      </c>
      <c r="H10" s="9">
        <v>2019</v>
      </c>
      <c r="I10" s="9">
        <v>117000</v>
      </c>
      <c r="J10" s="9" t="s">
        <v>36</v>
      </c>
      <c r="K10" s="11">
        <v>45667</v>
      </c>
      <c r="L10" s="9">
        <v>12</v>
      </c>
      <c r="M10" s="9">
        <v>2040</v>
      </c>
      <c r="N10" s="12">
        <f t="shared" si="0"/>
        <v>0.03</v>
      </c>
      <c r="O10" s="9">
        <f t="shared" si="1"/>
        <v>3510</v>
      </c>
      <c r="P10" s="9">
        <f t="shared" si="2"/>
        <v>5550</v>
      </c>
      <c r="Q10" s="9" t="str">
        <f t="shared" si="3"/>
        <v>VIP</v>
      </c>
      <c r="R10" s="13">
        <f t="shared" si="4"/>
        <v>32</v>
      </c>
      <c r="T10" s="7" t="s">
        <v>160</v>
      </c>
      <c r="U10" s="13">
        <v>3</v>
      </c>
    </row>
    <row r="11" spans="1:57" x14ac:dyDescent="0.3">
      <c r="A11" s="9">
        <v>10</v>
      </c>
      <c r="B11" s="10" t="s">
        <v>62</v>
      </c>
      <c r="C11" s="10" t="s">
        <v>63</v>
      </c>
      <c r="D11" s="10" t="s">
        <v>64</v>
      </c>
      <c r="E11" s="10" t="s">
        <v>50</v>
      </c>
      <c r="F11" s="10" t="s">
        <v>21</v>
      </c>
      <c r="G11" s="10" t="s">
        <v>41</v>
      </c>
      <c r="H11" s="9">
        <v>2020</v>
      </c>
      <c r="I11" s="9">
        <v>120000</v>
      </c>
      <c r="J11" s="9" t="s">
        <v>23</v>
      </c>
      <c r="K11" s="11">
        <v>45668</v>
      </c>
      <c r="L11" s="9">
        <v>12</v>
      </c>
      <c r="M11" s="9">
        <v>2100</v>
      </c>
      <c r="N11" s="12">
        <f t="shared" si="0"/>
        <v>0.05</v>
      </c>
      <c r="O11" s="9">
        <f t="shared" si="1"/>
        <v>6000</v>
      </c>
      <c r="P11" s="9">
        <f t="shared" si="2"/>
        <v>8100</v>
      </c>
      <c r="Q11" s="9" t="str">
        <f t="shared" si="3"/>
        <v>VIP</v>
      </c>
      <c r="R11" s="13">
        <f t="shared" si="4"/>
        <v>26</v>
      </c>
      <c r="T11" s="7" t="s">
        <v>161</v>
      </c>
      <c r="U11" s="13" t="str">
        <f>INDEX(B:B,MATCH(U10,A:A,0))</f>
        <v>Benali</v>
      </c>
    </row>
    <row r="12" spans="1:57" x14ac:dyDescent="0.3">
      <c r="A12" s="9">
        <v>11</v>
      </c>
      <c r="B12" s="10" t="s">
        <v>65</v>
      </c>
      <c r="C12" s="10" t="s">
        <v>66</v>
      </c>
      <c r="D12" s="10" t="s">
        <v>67</v>
      </c>
      <c r="E12" s="10" t="s">
        <v>45</v>
      </c>
      <c r="F12" s="10" t="s">
        <v>27</v>
      </c>
      <c r="G12" s="10" t="s">
        <v>46</v>
      </c>
      <c r="H12" s="9">
        <v>2021</v>
      </c>
      <c r="I12" s="9">
        <v>123000</v>
      </c>
      <c r="J12" s="9" t="s">
        <v>29</v>
      </c>
      <c r="K12" s="11">
        <v>45669</v>
      </c>
      <c r="L12" s="9">
        <v>12</v>
      </c>
      <c r="M12" s="9">
        <v>2160</v>
      </c>
      <c r="N12" s="12">
        <f t="shared" si="0"/>
        <v>0.06</v>
      </c>
      <c r="O12" s="9">
        <f t="shared" si="1"/>
        <v>7380</v>
      </c>
      <c r="P12" s="9">
        <f t="shared" si="2"/>
        <v>9540</v>
      </c>
      <c r="Q12" s="9" t="str">
        <f t="shared" si="3"/>
        <v>VIP</v>
      </c>
      <c r="R12" s="13">
        <f t="shared" si="4"/>
        <v>20</v>
      </c>
      <c r="T12" s="7" t="s">
        <v>162</v>
      </c>
      <c r="U12" s="13">
        <f>INDEX(P:P,MATCH(U10,A:A,0))</f>
        <v>4650</v>
      </c>
    </row>
    <row r="13" spans="1:57" x14ac:dyDescent="0.3">
      <c r="A13" s="9">
        <v>12</v>
      </c>
      <c r="B13" s="10" t="s">
        <v>68</v>
      </c>
      <c r="C13" s="10" t="s">
        <v>69</v>
      </c>
      <c r="D13" s="10" t="s">
        <v>70</v>
      </c>
      <c r="E13" s="10" t="s">
        <v>33</v>
      </c>
      <c r="F13" s="10" t="s">
        <v>34</v>
      </c>
      <c r="G13" s="10" t="s">
        <v>51</v>
      </c>
      <c r="H13" s="9">
        <v>2022</v>
      </c>
      <c r="I13" s="9">
        <v>126000</v>
      </c>
      <c r="J13" s="9" t="s">
        <v>36</v>
      </c>
      <c r="K13" s="11">
        <v>45670</v>
      </c>
      <c r="L13" s="9">
        <v>12</v>
      </c>
      <c r="M13" s="9">
        <v>2220</v>
      </c>
      <c r="N13" s="12">
        <f t="shared" si="0"/>
        <v>0.03</v>
      </c>
      <c r="O13" s="9">
        <f t="shared" si="1"/>
        <v>3780</v>
      </c>
      <c r="P13" s="9">
        <f t="shared" si="2"/>
        <v>6000</v>
      </c>
      <c r="Q13" s="9" t="str">
        <f t="shared" si="3"/>
        <v>VIP</v>
      </c>
      <c r="R13" s="13">
        <f t="shared" si="4"/>
        <v>29</v>
      </c>
      <c r="T13" s="8"/>
    </row>
    <row r="14" spans="1:57" x14ac:dyDescent="0.3">
      <c r="A14" s="9">
        <v>13</v>
      </c>
      <c r="B14" s="10" t="s">
        <v>71</v>
      </c>
      <c r="C14" s="10" t="s">
        <v>72</v>
      </c>
      <c r="D14" s="10" t="s">
        <v>73</v>
      </c>
      <c r="E14" s="10" t="s">
        <v>20</v>
      </c>
      <c r="F14" s="10" t="s">
        <v>21</v>
      </c>
      <c r="G14" s="10" t="s">
        <v>22</v>
      </c>
      <c r="H14" s="9">
        <v>2023</v>
      </c>
      <c r="I14" s="9">
        <v>129000</v>
      </c>
      <c r="J14" s="9" t="s">
        <v>23</v>
      </c>
      <c r="K14" s="11">
        <v>45671</v>
      </c>
      <c r="L14" s="9">
        <v>12</v>
      </c>
      <c r="M14" s="9">
        <v>2280</v>
      </c>
      <c r="N14" s="12">
        <f t="shared" si="0"/>
        <v>0.05</v>
      </c>
      <c r="O14" s="9">
        <f t="shared" si="1"/>
        <v>6450</v>
      </c>
      <c r="P14" s="9">
        <f t="shared" si="2"/>
        <v>8730</v>
      </c>
      <c r="Q14" s="9" t="str">
        <f t="shared" si="3"/>
        <v>VIP</v>
      </c>
      <c r="R14" s="13">
        <f t="shared" si="4"/>
        <v>22</v>
      </c>
    </row>
    <row r="15" spans="1:57" x14ac:dyDescent="0.3">
      <c r="A15" s="9">
        <v>14</v>
      </c>
      <c r="B15" s="10" t="s">
        <v>74</v>
      </c>
      <c r="C15" s="10" t="s">
        <v>75</v>
      </c>
      <c r="D15" s="10" t="s">
        <v>76</v>
      </c>
      <c r="E15" s="10" t="s">
        <v>50</v>
      </c>
      <c r="F15" s="10" t="s">
        <v>27</v>
      </c>
      <c r="G15" s="10" t="s">
        <v>28</v>
      </c>
      <c r="H15" s="9">
        <v>2010</v>
      </c>
      <c r="I15" s="9">
        <v>132000</v>
      </c>
      <c r="J15" s="9" t="s">
        <v>29</v>
      </c>
      <c r="K15" s="11">
        <v>45672</v>
      </c>
      <c r="L15" s="9">
        <v>12</v>
      </c>
      <c r="M15" s="9">
        <v>2340</v>
      </c>
      <c r="N15" s="12">
        <f t="shared" si="0"/>
        <v>0.06</v>
      </c>
      <c r="O15" s="9">
        <f t="shared" si="1"/>
        <v>7920</v>
      </c>
      <c r="P15" s="9">
        <f t="shared" si="2"/>
        <v>10260</v>
      </c>
      <c r="Q15" s="9" t="str">
        <f t="shared" si="3"/>
        <v>VIP</v>
      </c>
      <c r="R15" s="13">
        <f t="shared" si="4"/>
        <v>16</v>
      </c>
    </row>
    <row r="16" spans="1:57" x14ac:dyDescent="0.3">
      <c r="A16" s="9">
        <v>15</v>
      </c>
      <c r="B16" s="10" t="s">
        <v>77</v>
      </c>
      <c r="C16" s="10" t="s">
        <v>78</v>
      </c>
      <c r="D16" s="10" t="s">
        <v>79</v>
      </c>
      <c r="E16" s="10" t="s">
        <v>45</v>
      </c>
      <c r="F16" s="10" t="s">
        <v>34</v>
      </c>
      <c r="G16" s="10" t="s">
        <v>35</v>
      </c>
      <c r="H16" s="9">
        <v>2011</v>
      </c>
      <c r="I16" s="9">
        <v>135000</v>
      </c>
      <c r="J16" s="9" t="s">
        <v>36</v>
      </c>
      <c r="K16" s="11">
        <v>45673</v>
      </c>
      <c r="L16" s="9">
        <v>12</v>
      </c>
      <c r="M16" s="9">
        <v>2400</v>
      </c>
      <c r="N16" s="12">
        <f t="shared" si="0"/>
        <v>0.03</v>
      </c>
      <c r="O16" s="9">
        <f t="shared" si="1"/>
        <v>4050</v>
      </c>
      <c r="P16" s="9">
        <f t="shared" si="2"/>
        <v>6450</v>
      </c>
      <c r="Q16" s="9" t="str">
        <f t="shared" si="3"/>
        <v>VIP</v>
      </c>
      <c r="R16" s="13">
        <f t="shared" si="4"/>
        <v>26</v>
      </c>
    </row>
    <row r="17" spans="1:18" x14ac:dyDescent="0.3">
      <c r="A17" s="9">
        <v>16</v>
      </c>
      <c r="B17" s="10" t="s">
        <v>80</v>
      </c>
      <c r="C17" s="10" t="s">
        <v>81</v>
      </c>
      <c r="D17" s="10" t="s">
        <v>82</v>
      </c>
      <c r="E17" s="10" t="s">
        <v>40</v>
      </c>
      <c r="F17" s="10" t="s">
        <v>21</v>
      </c>
      <c r="G17" s="10" t="s">
        <v>41</v>
      </c>
      <c r="H17" s="9">
        <v>2012</v>
      </c>
      <c r="I17" s="9">
        <v>138000</v>
      </c>
      <c r="J17" s="9" t="s">
        <v>23</v>
      </c>
      <c r="K17" s="11">
        <v>45674</v>
      </c>
      <c r="L17" s="9">
        <v>12</v>
      </c>
      <c r="M17" s="9">
        <v>2460</v>
      </c>
      <c r="N17" s="12">
        <f t="shared" si="0"/>
        <v>0.05</v>
      </c>
      <c r="O17" s="9">
        <f t="shared" si="1"/>
        <v>6900</v>
      </c>
      <c r="P17" s="9">
        <f t="shared" si="2"/>
        <v>9360</v>
      </c>
      <c r="Q17" s="9" t="str">
        <f t="shared" si="3"/>
        <v>VIP</v>
      </c>
      <c r="R17" s="13">
        <f t="shared" si="4"/>
        <v>19</v>
      </c>
    </row>
    <row r="18" spans="1:18" x14ac:dyDescent="0.3">
      <c r="A18" s="9">
        <v>17</v>
      </c>
      <c r="B18" s="10" t="s">
        <v>83</v>
      </c>
      <c r="C18" s="10" t="s">
        <v>84</v>
      </c>
      <c r="D18" s="10" t="s">
        <v>85</v>
      </c>
      <c r="E18" s="10" t="s">
        <v>33</v>
      </c>
      <c r="F18" s="10" t="s">
        <v>27</v>
      </c>
      <c r="G18" s="10" t="s">
        <v>46</v>
      </c>
      <c r="H18" s="9">
        <v>2013</v>
      </c>
      <c r="I18" s="9">
        <v>141000</v>
      </c>
      <c r="J18" s="9" t="s">
        <v>29</v>
      </c>
      <c r="K18" s="11">
        <v>45675</v>
      </c>
      <c r="L18" s="9">
        <v>12</v>
      </c>
      <c r="M18" s="9">
        <v>2520</v>
      </c>
      <c r="N18" s="12">
        <f t="shared" si="0"/>
        <v>0.06</v>
      </c>
      <c r="O18" s="9">
        <f t="shared" si="1"/>
        <v>8460</v>
      </c>
      <c r="P18" s="9">
        <f t="shared" si="2"/>
        <v>10980</v>
      </c>
      <c r="Q18" s="9" t="str">
        <f t="shared" si="3"/>
        <v>VIP</v>
      </c>
      <c r="R18" s="13">
        <f t="shared" si="4"/>
        <v>14</v>
      </c>
    </row>
    <row r="19" spans="1:18" x14ac:dyDescent="0.3">
      <c r="A19" s="9">
        <v>18</v>
      </c>
      <c r="B19" s="10" t="s">
        <v>86</v>
      </c>
      <c r="C19" s="10" t="s">
        <v>87</v>
      </c>
      <c r="D19" s="10" t="s">
        <v>88</v>
      </c>
      <c r="E19" s="10" t="s">
        <v>20</v>
      </c>
      <c r="F19" s="10" t="s">
        <v>34</v>
      </c>
      <c r="G19" s="10" t="s">
        <v>51</v>
      </c>
      <c r="H19" s="9">
        <v>2014</v>
      </c>
      <c r="I19" s="9">
        <v>144000</v>
      </c>
      <c r="J19" s="9" t="s">
        <v>36</v>
      </c>
      <c r="K19" s="11">
        <v>45676</v>
      </c>
      <c r="L19" s="9">
        <v>12</v>
      </c>
      <c r="M19" s="9">
        <v>2580</v>
      </c>
      <c r="N19" s="12">
        <f t="shared" si="0"/>
        <v>0.03</v>
      </c>
      <c r="O19" s="9">
        <f t="shared" si="1"/>
        <v>4320</v>
      </c>
      <c r="P19" s="9">
        <f t="shared" si="2"/>
        <v>6900</v>
      </c>
      <c r="Q19" s="9" t="str">
        <f t="shared" si="3"/>
        <v>VIP</v>
      </c>
      <c r="R19" s="13">
        <f t="shared" si="4"/>
        <v>23</v>
      </c>
    </row>
    <row r="20" spans="1:18" x14ac:dyDescent="0.3">
      <c r="A20" s="9">
        <v>19</v>
      </c>
      <c r="B20" s="10" t="s">
        <v>89</v>
      </c>
      <c r="C20" s="10" t="s">
        <v>90</v>
      </c>
      <c r="D20" s="10" t="s">
        <v>91</v>
      </c>
      <c r="E20" s="10" t="s">
        <v>50</v>
      </c>
      <c r="F20" s="10" t="s">
        <v>21</v>
      </c>
      <c r="G20" s="10" t="s">
        <v>22</v>
      </c>
      <c r="H20" s="9">
        <v>2015</v>
      </c>
      <c r="I20" s="9">
        <v>147000</v>
      </c>
      <c r="J20" s="9" t="s">
        <v>23</v>
      </c>
      <c r="K20" s="11">
        <v>45677</v>
      </c>
      <c r="L20" s="9">
        <v>12</v>
      </c>
      <c r="M20" s="9">
        <v>2640</v>
      </c>
      <c r="N20" s="12">
        <f t="shared" si="0"/>
        <v>0.05</v>
      </c>
      <c r="O20" s="9">
        <f t="shared" si="1"/>
        <v>7350</v>
      </c>
      <c r="P20" s="9">
        <f t="shared" si="2"/>
        <v>9990</v>
      </c>
      <c r="Q20" s="9" t="str">
        <f t="shared" si="3"/>
        <v>VIP</v>
      </c>
      <c r="R20" s="13">
        <f t="shared" si="4"/>
        <v>16</v>
      </c>
    </row>
    <row r="21" spans="1:18" x14ac:dyDescent="0.3">
      <c r="A21" s="9">
        <v>20</v>
      </c>
      <c r="B21" s="10" t="s">
        <v>92</v>
      </c>
      <c r="C21" s="10" t="s">
        <v>93</v>
      </c>
      <c r="D21" s="10" t="s">
        <v>94</v>
      </c>
      <c r="E21" s="10" t="s">
        <v>45</v>
      </c>
      <c r="F21" s="10" t="s">
        <v>27</v>
      </c>
      <c r="G21" s="10" t="s">
        <v>28</v>
      </c>
      <c r="H21" s="9">
        <v>2016</v>
      </c>
      <c r="I21" s="9">
        <v>150000</v>
      </c>
      <c r="J21" s="9" t="s">
        <v>29</v>
      </c>
      <c r="K21" s="11">
        <v>45678</v>
      </c>
      <c r="L21" s="9">
        <v>12</v>
      </c>
      <c r="M21" s="9">
        <v>2700</v>
      </c>
      <c r="N21" s="12">
        <f t="shared" si="0"/>
        <v>0.06</v>
      </c>
      <c r="O21" s="9">
        <f t="shared" si="1"/>
        <v>9000</v>
      </c>
      <c r="P21" s="9">
        <f t="shared" si="2"/>
        <v>11700</v>
      </c>
      <c r="Q21" s="9" t="str">
        <f t="shared" si="3"/>
        <v>VIP</v>
      </c>
      <c r="R21" s="13">
        <f t="shared" si="4"/>
        <v>12</v>
      </c>
    </row>
    <row r="22" spans="1:18" x14ac:dyDescent="0.3">
      <c r="A22" s="9">
        <v>21</v>
      </c>
      <c r="B22" s="10" t="s">
        <v>95</v>
      </c>
      <c r="C22" s="10" t="s">
        <v>96</v>
      </c>
      <c r="D22" s="10" t="s">
        <v>97</v>
      </c>
      <c r="E22" s="10" t="s">
        <v>40</v>
      </c>
      <c r="F22" s="10" t="s">
        <v>34</v>
      </c>
      <c r="G22" s="10" t="s">
        <v>35</v>
      </c>
      <c r="H22" s="9">
        <v>2017</v>
      </c>
      <c r="I22" s="9">
        <v>153000</v>
      </c>
      <c r="J22" s="9" t="s">
        <v>36</v>
      </c>
      <c r="K22" s="11">
        <v>45679</v>
      </c>
      <c r="L22" s="9">
        <v>12</v>
      </c>
      <c r="M22" s="9">
        <v>2760</v>
      </c>
      <c r="N22" s="12">
        <f t="shared" si="0"/>
        <v>0.03</v>
      </c>
      <c r="O22" s="9">
        <f t="shared" si="1"/>
        <v>4590</v>
      </c>
      <c r="P22" s="9">
        <f t="shared" si="2"/>
        <v>7350</v>
      </c>
      <c r="Q22" s="9" t="str">
        <f t="shared" si="3"/>
        <v>VIP</v>
      </c>
      <c r="R22" s="13">
        <f t="shared" si="4"/>
        <v>20</v>
      </c>
    </row>
    <row r="23" spans="1:18" x14ac:dyDescent="0.3">
      <c r="A23" s="9">
        <v>22</v>
      </c>
      <c r="B23" s="10" t="s">
        <v>98</v>
      </c>
      <c r="C23" s="10" t="s">
        <v>99</v>
      </c>
      <c r="D23" s="10" t="s">
        <v>100</v>
      </c>
      <c r="E23" s="10" t="s">
        <v>33</v>
      </c>
      <c r="F23" s="10" t="s">
        <v>21</v>
      </c>
      <c r="G23" s="10" t="s">
        <v>41</v>
      </c>
      <c r="H23" s="9">
        <v>2018</v>
      </c>
      <c r="I23" s="9">
        <v>156000</v>
      </c>
      <c r="J23" s="9" t="s">
        <v>23</v>
      </c>
      <c r="K23" s="11">
        <v>45680</v>
      </c>
      <c r="L23" s="9">
        <v>12</v>
      </c>
      <c r="M23" s="9">
        <v>2820</v>
      </c>
      <c r="N23" s="12">
        <f t="shared" si="0"/>
        <v>0.05</v>
      </c>
      <c r="O23" s="9">
        <f t="shared" si="1"/>
        <v>7800</v>
      </c>
      <c r="P23" s="9">
        <f t="shared" si="2"/>
        <v>10620</v>
      </c>
      <c r="Q23" s="9" t="str">
        <f t="shared" si="3"/>
        <v>VIP</v>
      </c>
      <c r="R23" s="13">
        <f t="shared" si="4"/>
        <v>13</v>
      </c>
    </row>
    <row r="24" spans="1:18" x14ac:dyDescent="0.3">
      <c r="A24" s="9">
        <v>23</v>
      </c>
      <c r="B24" s="10" t="s">
        <v>101</v>
      </c>
      <c r="C24" s="10" t="s">
        <v>102</v>
      </c>
      <c r="D24" s="10" t="s">
        <v>103</v>
      </c>
      <c r="E24" s="10" t="s">
        <v>50</v>
      </c>
      <c r="F24" s="10" t="s">
        <v>27</v>
      </c>
      <c r="G24" s="10" t="s">
        <v>46</v>
      </c>
      <c r="H24" s="9">
        <v>2019</v>
      </c>
      <c r="I24" s="9">
        <v>159000</v>
      </c>
      <c r="J24" s="9" t="s">
        <v>29</v>
      </c>
      <c r="K24" s="11">
        <v>45681</v>
      </c>
      <c r="L24" s="9">
        <v>12</v>
      </c>
      <c r="M24" s="9">
        <v>2880</v>
      </c>
      <c r="N24" s="12">
        <f t="shared" si="0"/>
        <v>0.06</v>
      </c>
      <c r="O24" s="9">
        <f t="shared" si="1"/>
        <v>9540</v>
      </c>
      <c r="P24" s="9">
        <f t="shared" si="2"/>
        <v>12420</v>
      </c>
      <c r="Q24" s="9" t="str">
        <f t="shared" si="3"/>
        <v>VIP</v>
      </c>
      <c r="R24" s="13">
        <f t="shared" si="4"/>
        <v>10</v>
      </c>
    </row>
    <row r="25" spans="1:18" x14ac:dyDescent="0.3">
      <c r="A25" s="9">
        <v>24</v>
      </c>
      <c r="B25" s="10" t="s">
        <v>104</v>
      </c>
      <c r="C25" s="10" t="s">
        <v>105</v>
      </c>
      <c r="D25" s="10" t="s">
        <v>106</v>
      </c>
      <c r="E25" s="10" t="s">
        <v>40</v>
      </c>
      <c r="F25" s="10" t="s">
        <v>34</v>
      </c>
      <c r="G25" s="10" t="s">
        <v>51</v>
      </c>
      <c r="H25" s="9">
        <v>2020</v>
      </c>
      <c r="I25" s="9">
        <v>162000</v>
      </c>
      <c r="J25" s="9" t="s">
        <v>36</v>
      </c>
      <c r="K25" s="11">
        <v>45682</v>
      </c>
      <c r="L25" s="9">
        <v>12</v>
      </c>
      <c r="M25" s="9">
        <v>2940</v>
      </c>
      <c r="N25" s="12">
        <f t="shared" si="0"/>
        <v>0.03</v>
      </c>
      <c r="O25" s="9">
        <f t="shared" si="1"/>
        <v>4860</v>
      </c>
      <c r="P25" s="9">
        <f t="shared" si="2"/>
        <v>7800</v>
      </c>
      <c r="Q25" s="9" t="str">
        <f t="shared" si="3"/>
        <v>VIP</v>
      </c>
      <c r="R25" s="13">
        <f t="shared" si="4"/>
        <v>17</v>
      </c>
    </row>
    <row r="26" spans="1:18" x14ac:dyDescent="0.3">
      <c r="A26" s="9">
        <v>25</v>
      </c>
      <c r="B26" s="10" t="s">
        <v>107</v>
      </c>
      <c r="C26" s="10" t="s">
        <v>108</v>
      </c>
      <c r="D26" s="10" t="s">
        <v>109</v>
      </c>
      <c r="E26" s="10" t="s">
        <v>45</v>
      </c>
      <c r="F26" s="10" t="s">
        <v>21</v>
      </c>
      <c r="G26" s="10" t="s">
        <v>22</v>
      </c>
      <c r="H26" s="9">
        <v>2021</v>
      </c>
      <c r="I26" s="9">
        <v>165000</v>
      </c>
      <c r="J26" s="9" t="s">
        <v>23</v>
      </c>
      <c r="K26" s="11">
        <v>45683</v>
      </c>
      <c r="L26" s="9">
        <v>12</v>
      </c>
      <c r="M26" s="9">
        <v>3000</v>
      </c>
      <c r="N26" s="12">
        <f t="shared" si="0"/>
        <v>0.05</v>
      </c>
      <c r="O26" s="9">
        <f t="shared" si="1"/>
        <v>8250</v>
      </c>
      <c r="P26" s="9">
        <f t="shared" si="2"/>
        <v>11250</v>
      </c>
      <c r="Q26" s="9" t="str">
        <f t="shared" si="3"/>
        <v>VIP</v>
      </c>
      <c r="R26" s="13">
        <f t="shared" si="4"/>
        <v>11</v>
      </c>
    </row>
    <row r="27" spans="1:18" x14ac:dyDescent="0.3">
      <c r="A27" s="9">
        <v>26</v>
      </c>
      <c r="B27" s="10" t="s">
        <v>110</v>
      </c>
      <c r="C27" s="10" t="s">
        <v>111</v>
      </c>
      <c r="D27" s="10" t="s">
        <v>112</v>
      </c>
      <c r="E27" s="10" t="s">
        <v>20</v>
      </c>
      <c r="F27" s="10" t="s">
        <v>27</v>
      </c>
      <c r="G27" s="10" t="s">
        <v>28</v>
      </c>
      <c r="H27" s="9">
        <v>2022</v>
      </c>
      <c r="I27" s="9">
        <v>168000</v>
      </c>
      <c r="J27" s="9" t="s">
        <v>29</v>
      </c>
      <c r="K27" s="11">
        <v>45684</v>
      </c>
      <c r="L27" s="9">
        <v>12</v>
      </c>
      <c r="M27" s="9">
        <v>3060</v>
      </c>
      <c r="N27" s="12">
        <f t="shared" si="0"/>
        <v>0.06</v>
      </c>
      <c r="O27" s="9">
        <f t="shared" si="1"/>
        <v>10080</v>
      </c>
      <c r="P27" s="9">
        <f t="shared" si="2"/>
        <v>13140</v>
      </c>
      <c r="Q27" s="9" t="str">
        <f t="shared" si="3"/>
        <v>VIP</v>
      </c>
      <c r="R27" s="13">
        <f t="shared" si="4"/>
        <v>7</v>
      </c>
    </row>
    <row r="28" spans="1:18" x14ac:dyDescent="0.3">
      <c r="A28" s="9">
        <v>27</v>
      </c>
      <c r="B28" s="10" t="s">
        <v>113</v>
      </c>
      <c r="C28" s="10" t="s">
        <v>114</v>
      </c>
      <c r="D28" s="10" t="s">
        <v>115</v>
      </c>
      <c r="E28" s="10" t="s">
        <v>50</v>
      </c>
      <c r="F28" s="10" t="s">
        <v>34</v>
      </c>
      <c r="G28" s="10" t="s">
        <v>35</v>
      </c>
      <c r="H28" s="9">
        <v>2023</v>
      </c>
      <c r="I28" s="9">
        <v>171000</v>
      </c>
      <c r="J28" s="9" t="s">
        <v>36</v>
      </c>
      <c r="K28" s="11">
        <v>45685</v>
      </c>
      <c r="L28" s="9">
        <v>12</v>
      </c>
      <c r="M28" s="9">
        <v>3120</v>
      </c>
      <c r="N28" s="12">
        <f t="shared" si="0"/>
        <v>0.03</v>
      </c>
      <c r="O28" s="9">
        <f t="shared" si="1"/>
        <v>5130</v>
      </c>
      <c r="P28" s="9">
        <f t="shared" si="2"/>
        <v>8250</v>
      </c>
      <c r="Q28" s="9" t="str">
        <f t="shared" si="3"/>
        <v>VIP</v>
      </c>
      <c r="R28" s="13">
        <f t="shared" si="4"/>
        <v>14</v>
      </c>
    </row>
    <row r="29" spans="1:18" x14ac:dyDescent="0.3">
      <c r="A29" s="9">
        <v>28</v>
      </c>
      <c r="B29" s="10" t="s">
        <v>116</v>
      </c>
      <c r="C29" s="10" t="s">
        <v>117</v>
      </c>
      <c r="D29" s="10" t="s">
        <v>118</v>
      </c>
      <c r="E29" s="10" t="s">
        <v>33</v>
      </c>
      <c r="F29" s="10" t="s">
        <v>21</v>
      </c>
      <c r="G29" s="10" t="s">
        <v>41</v>
      </c>
      <c r="H29" s="9">
        <v>2010</v>
      </c>
      <c r="I29" s="9">
        <v>174000</v>
      </c>
      <c r="J29" s="9" t="s">
        <v>23</v>
      </c>
      <c r="K29" s="11">
        <v>45658</v>
      </c>
      <c r="L29" s="9">
        <v>12</v>
      </c>
      <c r="M29" s="9">
        <v>3180</v>
      </c>
      <c r="N29" s="12">
        <f t="shared" si="0"/>
        <v>0.05</v>
      </c>
      <c r="O29" s="9">
        <f t="shared" si="1"/>
        <v>8700</v>
      </c>
      <c r="P29" s="9">
        <f t="shared" si="2"/>
        <v>11880</v>
      </c>
      <c r="Q29" s="9" t="str">
        <f t="shared" si="3"/>
        <v>VIP</v>
      </c>
      <c r="R29" s="13">
        <f t="shared" si="4"/>
        <v>9</v>
      </c>
    </row>
    <row r="30" spans="1:18" x14ac:dyDescent="0.3">
      <c r="A30" s="9">
        <v>29</v>
      </c>
      <c r="B30" s="10" t="s">
        <v>119</v>
      </c>
      <c r="C30" s="10" t="s">
        <v>120</v>
      </c>
      <c r="D30" s="10" t="s">
        <v>121</v>
      </c>
      <c r="E30" s="10" t="s">
        <v>40</v>
      </c>
      <c r="F30" s="10" t="s">
        <v>27</v>
      </c>
      <c r="G30" s="10" t="s">
        <v>46</v>
      </c>
      <c r="H30" s="9">
        <v>2011</v>
      </c>
      <c r="I30" s="9">
        <v>177000</v>
      </c>
      <c r="J30" s="9" t="s">
        <v>29</v>
      </c>
      <c r="K30" s="11">
        <v>45659</v>
      </c>
      <c r="L30" s="9">
        <v>12</v>
      </c>
      <c r="M30" s="9">
        <v>3240</v>
      </c>
      <c r="N30" s="12">
        <f t="shared" si="0"/>
        <v>0.06</v>
      </c>
      <c r="O30" s="9">
        <f t="shared" si="1"/>
        <v>10620</v>
      </c>
      <c r="P30" s="9">
        <f t="shared" si="2"/>
        <v>13860</v>
      </c>
      <c r="Q30" s="9" t="str">
        <f t="shared" si="3"/>
        <v>VIP</v>
      </c>
      <c r="R30" s="13">
        <f t="shared" si="4"/>
        <v>5</v>
      </c>
    </row>
    <row r="31" spans="1:18" x14ac:dyDescent="0.3">
      <c r="A31" s="9">
        <v>30</v>
      </c>
      <c r="B31" s="10" t="s">
        <v>122</v>
      </c>
      <c r="C31" s="10" t="s">
        <v>123</v>
      </c>
      <c r="D31" s="10" t="s">
        <v>124</v>
      </c>
      <c r="E31" s="10" t="s">
        <v>45</v>
      </c>
      <c r="F31" s="10" t="s">
        <v>34</v>
      </c>
      <c r="G31" s="10" t="s">
        <v>51</v>
      </c>
      <c r="H31" s="9">
        <v>2012</v>
      </c>
      <c r="I31" s="9">
        <v>180000</v>
      </c>
      <c r="J31" s="9" t="s">
        <v>36</v>
      </c>
      <c r="K31" s="11">
        <v>45660</v>
      </c>
      <c r="L31" s="9">
        <v>12</v>
      </c>
      <c r="M31" s="9">
        <v>3300</v>
      </c>
      <c r="N31" s="12">
        <f t="shared" si="0"/>
        <v>0.03</v>
      </c>
      <c r="O31" s="9">
        <f t="shared" si="1"/>
        <v>5400</v>
      </c>
      <c r="P31" s="9">
        <f t="shared" si="2"/>
        <v>8700</v>
      </c>
      <c r="Q31" s="9" t="str">
        <f t="shared" si="3"/>
        <v>VIP</v>
      </c>
      <c r="R31" s="13">
        <f t="shared" si="4"/>
        <v>11</v>
      </c>
    </row>
    <row r="32" spans="1:18" x14ac:dyDescent="0.3">
      <c r="A32" s="9">
        <v>31</v>
      </c>
      <c r="B32" s="10" t="s">
        <v>125</v>
      </c>
      <c r="C32" s="10" t="s">
        <v>126</v>
      </c>
      <c r="D32" s="10" t="s">
        <v>127</v>
      </c>
      <c r="E32" s="10" t="s">
        <v>50</v>
      </c>
      <c r="F32" s="10" t="s">
        <v>21</v>
      </c>
      <c r="G32" s="10" t="s">
        <v>22</v>
      </c>
      <c r="H32" s="9">
        <v>2013</v>
      </c>
      <c r="I32" s="9">
        <v>183000</v>
      </c>
      <c r="J32" s="9" t="s">
        <v>23</v>
      </c>
      <c r="K32" s="11">
        <v>45661</v>
      </c>
      <c r="L32" s="9">
        <v>12</v>
      </c>
      <c r="M32" s="9">
        <v>3360</v>
      </c>
      <c r="N32" s="12">
        <f t="shared" si="0"/>
        <v>0.05</v>
      </c>
      <c r="O32" s="9">
        <f t="shared" si="1"/>
        <v>9150</v>
      </c>
      <c r="P32" s="9">
        <f t="shared" si="2"/>
        <v>12510</v>
      </c>
      <c r="Q32" s="9" t="str">
        <f t="shared" si="3"/>
        <v>VIP</v>
      </c>
      <c r="R32" s="13">
        <f t="shared" si="4"/>
        <v>7</v>
      </c>
    </row>
    <row r="33" spans="1:18" x14ac:dyDescent="0.3">
      <c r="A33" s="9">
        <v>32</v>
      </c>
      <c r="B33" s="10" t="s">
        <v>128</v>
      </c>
      <c r="C33" s="10" t="s">
        <v>129</v>
      </c>
      <c r="D33" s="10" t="s">
        <v>130</v>
      </c>
      <c r="E33" s="10" t="s">
        <v>33</v>
      </c>
      <c r="F33" s="10" t="s">
        <v>27</v>
      </c>
      <c r="G33" s="10" t="s">
        <v>28</v>
      </c>
      <c r="H33" s="9">
        <v>2014</v>
      </c>
      <c r="I33" s="9">
        <v>186000</v>
      </c>
      <c r="J33" s="9" t="s">
        <v>29</v>
      </c>
      <c r="K33" s="11">
        <v>45662</v>
      </c>
      <c r="L33" s="9">
        <v>12</v>
      </c>
      <c r="M33" s="9">
        <v>3420</v>
      </c>
      <c r="N33" s="12">
        <f t="shared" si="0"/>
        <v>0.06</v>
      </c>
      <c r="O33" s="9">
        <f t="shared" si="1"/>
        <v>11160</v>
      </c>
      <c r="P33" s="9">
        <f t="shared" si="2"/>
        <v>14580</v>
      </c>
      <c r="Q33" s="9" t="str">
        <f t="shared" si="3"/>
        <v>VIP</v>
      </c>
      <c r="R33" s="13">
        <f t="shared" si="4"/>
        <v>3</v>
      </c>
    </row>
    <row r="34" spans="1:18" x14ac:dyDescent="0.3">
      <c r="A34" s="9">
        <v>33</v>
      </c>
      <c r="B34" s="10" t="s">
        <v>131</v>
      </c>
      <c r="C34" s="10" t="s">
        <v>132</v>
      </c>
      <c r="D34" s="10" t="s">
        <v>133</v>
      </c>
      <c r="E34" s="10" t="s">
        <v>40</v>
      </c>
      <c r="F34" s="10" t="s">
        <v>34</v>
      </c>
      <c r="G34" s="10" t="s">
        <v>35</v>
      </c>
      <c r="H34" s="9">
        <v>2015</v>
      </c>
      <c r="I34" s="9">
        <v>189000</v>
      </c>
      <c r="J34" s="9" t="s">
        <v>36</v>
      </c>
      <c r="K34" s="11">
        <v>45663</v>
      </c>
      <c r="L34" s="9">
        <v>12</v>
      </c>
      <c r="M34" s="9">
        <v>3480</v>
      </c>
      <c r="N34" s="12">
        <f t="shared" si="0"/>
        <v>0.03</v>
      </c>
      <c r="O34" s="9">
        <f t="shared" si="1"/>
        <v>5670</v>
      </c>
      <c r="P34" s="9">
        <f t="shared" si="2"/>
        <v>9150</v>
      </c>
      <c r="Q34" s="9" t="str">
        <f t="shared" si="3"/>
        <v>VIP</v>
      </c>
      <c r="R34" s="13">
        <f t="shared" si="4"/>
        <v>8</v>
      </c>
    </row>
    <row r="35" spans="1:18" x14ac:dyDescent="0.3">
      <c r="A35" s="9">
        <v>34</v>
      </c>
      <c r="B35" s="10" t="s">
        <v>134</v>
      </c>
      <c r="C35" s="10" t="s">
        <v>135</v>
      </c>
      <c r="D35" s="10" t="s">
        <v>136</v>
      </c>
      <c r="E35" s="10" t="s">
        <v>45</v>
      </c>
      <c r="F35" s="10" t="s">
        <v>21</v>
      </c>
      <c r="G35" s="10" t="s">
        <v>41</v>
      </c>
      <c r="H35" s="9">
        <v>2016</v>
      </c>
      <c r="I35" s="9">
        <v>192000</v>
      </c>
      <c r="J35" s="9" t="s">
        <v>23</v>
      </c>
      <c r="K35" s="11">
        <v>45664</v>
      </c>
      <c r="L35" s="9">
        <v>12</v>
      </c>
      <c r="M35" s="9">
        <v>3540</v>
      </c>
      <c r="N35" s="12">
        <f t="shared" si="0"/>
        <v>0.05</v>
      </c>
      <c r="O35" s="9">
        <f t="shared" si="1"/>
        <v>9600</v>
      </c>
      <c r="P35" s="9">
        <f t="shared" si="2"/>
        <v>13140</v>
      </c>
      <c r="Q35" s="9" t="str">
        <f t="shared" si="3"/>
        <v>VIP</v>
      </c>
      <c r="R35" s="13">
        <f t="shared" si="4"/>
        <v>5</v>
      </c>
    </row>
    <row r="36" spans="1:18" x14ac:dyDescent="0.3">
      <c r="A36" s="9">
        <v>35</v>
      </c>
      <c r="B36" s="10" t="s">
        <v>137</v>
      </c>
      <c r="C36" s="10" t="s">
        <v>138</v>
      </c>
      <c r="D36" s="10" t="s">
        <v>139</v>
      </c>
      <c r="E36" s="10" t="s">
        <v>20</v>
      </c>
      <c r="F36" s="10" t="s">
        <v>27</v>
      </c>
      <c r="G36" s="10" t="s">
        <v>46</v>
      </c>
      <c r="H36" s="9">
        <v>2017</v>
      </c>
      <c r="I36" s="9">
        <v>195000</v>
      </c>
      <c r="J36" s="9" t="s">
        <v>29</v>
      </c>
      <c r="K36" s="11">
        <v>45665</v>
      </c>
      <c r="L36" s="9">
        <v>12</v>
      </c>
      <c r="M36" s="9">
        <v>3600</v>
      </c>
      <c r="N36" s="12">
        <f t="shared" si="0"/>
        <v>0.06</v>
      </c>
      <c r="O36" s="9">
        <f t="shared" si="1"/>
        <v>11700</v>
      </c>
      <c r="P36" s="9">
        <f t="shared" si="2"/>
        <v>15300</v>
      </c>
      <c r="Q36" s="9" t="str">
        <f t="shared" si="3"/>
        <v>VIP</v>
      </c>
      <c r="R36" s="13">
        <f t="shared" si="4"/>
        <v>2</v>
      </c>
    </row>
    <row r="37" spans="1:18" x14ac:dyDescent="0.3">
      <c r="A37" s="9">
        <v>36</v>
      </c>
      <c r="B37" s="10" t="s">
        <v>140</v>
      </c>
      <c r="C37" s="10" t="s">
        <v>141</v>
      </c>
      <c r="D37" s="10" t="s">
        <v>142</v>
      </c>
      <c r="E37" s="10" t="s">
        <v>50</v>
      </c>
      <c r="F37" s="10" t="s">
        <v>34</v>
      </c>
      <c r="G37" s="10" t="s">
        <v>51</v>
      </c>
      <c r="H37" s="9">
        <v>2018</v>
      </c>
      <c r="I37" s="9">
        <v>198000</v>
      </c>
      <c r="J37" s="9" t="s">
        <v>36</v>
      </c>
      <c r="K37" s="11">
        <v>45666</v>
      </c>
      <c r="L37" s="9">
        <v>12</v>
      </c>
      <c r="M37" s="9">
        <v>3660</v>
      </c>
      <c r="N37" s="12">
        <f t="shared" si="0"/>
        <v>0.03</v>
      </c>
      <c r="O37" s="9">
        <f t="shared" si="1"/>
        <v>5940</v>
      </c>
      <c r="P37" s="9">
        <f t="shared" si="2"/>
        <v>9600</v>
      </c>
      <c r="Q37" s="9" t="str">
        <f t="shared" si="3"/>
        <v>VIP</v>
      </c>
      <c r="R37" s="13">
        <f t="shared" si="4"/>
        <v>5</v>
      </c>
    </row>
    <row r="38" spans="1:18" x14ac:dyDescent="0.3">
      <c r="A38" s="9">
        <v>37</v>
      </c>
      <c r="B38" s="10" t="s">
        <v>143</v>
      </c>
      <c r="C38" s="10" t="s">
        <v>144</v>
      </c>
      <c r="D38" s="10" t="s">
        <v>145</v>
      </c>
      <c r="E38" s="10" t="s">
        <v>33</v>
      </c>
      <c r="F38" s="10" t="s">
        <v>21</v>
      </c>
      <c r="G38" s="10" t="s">
        <v>22</v>
      </c>
      <c r="H38" s="9">
        <v>2019</v>
      </c>
      <c r="I38" s="9">
        <v>201000</v>
      </c>
      <c r="J38" s="9" t="s">
        <v>23</v>
      </c>
      <c r="K38" s="11">
        <v>45667</v>
      </c>
      <c r="L38" s="9">
        <v>12</v>
      </c>
      <c r="M38" s="9">
        <v>3720</v>
      </c>
      <c r="N38" s="12">
        <f t="shared" si="0"/>
        <v>0.05</v>
      </c>
      <c r="O38" s="9">
        <f t="shared" si="1"/>
        <v>10050</v>
      </c>
      <c r="P38" s="9">
        <f t="shared" si="2"/>
        <v>13770</v>
      </c>
      <c r="Q38" s="9" t="str">
        <f t="shared" si="3"/>
        <v>VIP</v>
      </c>
      <c r="R38" s="13">
        <f t="shared" si="4"/>
        <v>3</v>
      </c>
    </row>
    <row r="39" spans="1:18" x14ac:dyDescent="0.3">
      <c r="A39" s="9">
        <v>38</v>
      </c>
      <c r="B39" s="10" t="s">
        <v>146</v>
      </c>
      <c r="C39" s="10" t="s">
        <v>147</v>
      </c>
      <c r="D39" s="10" t="s">
        <v>148</v>
      </c>
      <c r="E39" s="10" t="s">
        <v>40</v>
      </c>
      <c r="F39" s="10" t="s">
        <v>27</v>
      </c>
      <c r="G39" s="10" t="s">
        <v>28</v>
      </c>
      <c r="H39" s="9">
        <v>2020</v>
      </c>
      <c r="I39" s="9">
        <v>204000</v>
      </c>
      <c r="J39" s="9" t="s">
        <v>29</v>
      </c>
      <c r="K39" s="11">
        <v>45668</v>
      </c>
      <c r="L39" s="9">
        <v>12</v>
      </c>
      <c r="M39" s="9">
        <v>3780</v>
      </c>
      <c r="N39" s="12">
        <f t="shared" si="0"/>
        <v>0.06</v>
      </c>
      <c r="O39" s="9">
        <f t="shared" si="1"/>
        <v>12240</v>
      </c>
      <c r="P39" s="9">
        <f t="shared" si="2"/>
        <v>16020</v>
      </c>
      <c r="Q39" s="9" t="str">
        <f t="shared" si="3"/>
        <v>VIP</v>
      </c>
      <c r="R39" s="13">
        <f t="shared" si="4"/>
        <v>1</v>
      </c>
    </row>
    <row r="40" spans="1:18" x14ac:dyDescent="0.3">
      <c r="A40" s="9">
        <v>39</v>
      </c>
      <c r="B40" s="10" t="s">
        <v>149</v>
      </c>
      <c r="C40" s="10" t="s">
        <v>150</v>
      </c>
      <c r="D40" s="10" t="s">
        <v>151</v>
      </c>
      <c r="E40" s="10" t="s">
        <v>45</v>
      </c>
      <c r="F40" s="10" t="s">
        <v>34</v>
      </c>
      <c r="G40" s="10" t="s">
        <v>35</v>
      </c>
      <c r="H40" s="9">
        <v>2021</v>
      </c>
      <c r="I40" s="9">
        <v>207000</v>
      </c>
      <c r="J40" s="9" t="s">
        <v>36</v>
      </c>
      <c r="K40" s="11">
        <v>45669</v>
      </c>
      <c r="L40" s="9">
        <v>12</v>
      </c>
      <c r="M40" s="9">
        <v>3840</v>
      </c>
      <c r="N40" s="12">
        <f t="shared" si="0"/>
        <v>0.03</v>
      </c>
      <c r="O40" s="9">
        <f t="shared" si="1"/>
        <v>6210</v>
      </c>
      <c r="P40" s="9">
        <f t="shared" si="2"/>
        <v>10050</v>
      </c>
      <c r="Q40" s="9" t="str">
        <f t="shared" si="3"/>
        <v>VIP</v>
      </c>
      <c r="R40" s="13">
        <f t="shared" si="4"/>
        <v>2</v>
      </c>
    </row>
    <row r="41" spans="1:18" x14ac:dyDescent="0.3">
      <c r="A41" s="9">
        <v>40</v>
      </c>
      <c r="B41" s="10" t="s">
        <v>152</v>
      </c>
      <c r="C41" s="10" t="s">
        <v>153</v>
      </c>
      <c r="D41" s="10" t="s">
        <v>154</v>
      </c>
      <c r="E41" s="10" t="s">
        <v>20</v>
      </c>
      <c r="F41" s="10" t="s">
        <v>21</v>
      </c>
      <c r="G41" s="10" t="s">
        <v>41</v>
      </c>
      <c r="H41" s="9">
        <v>2022</v>
      </c>
      <c r="I41" s="9">
        <v>210000</v>
      </c>
      <c r="J41" s="9" t="s">
        <v>23</v>
      </c>
      <c r="K41" s="11">
        <v>45670</v>
      </c>
      <c r="L41" s="9">
        <v>12</v>
      </c>
      <c r="M41" s="9">
        <v>3900</v>
      </c>
      <c r="N41" s="12">
        <f t="shared" si="0"/>
        <v>0.05</v>
      </c>
      <c r="O41" s="9">
        <f t="shared" si="1"/>
        <v>10500</v>
      </c>
      <c r="P41" s="9">
        <f t="shared" si="2"/>
        <v>14400</v>
      </c>
      <c r="Q41" s="9" t="str">
        <f t="shared" si="3"/>
        <v>VIP</v>
      </c>
      <c r="R41" s="13">
        <f t="shared" si="4"/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backend</vt:lpstr>
      <vt:lpstr>frontend</vt:lpstr>
      <vt:lpstr>Assurances_Auto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AGHAZZAF</cp:lastModifiedBy>
  <dcterms:created xsi:type="dcterms:W3CDTF">2025-12-28T12:53:27Z</dcterms:created>
  <dcterms:modified xsi:type="dcterms:W3CDTF">2025-12-30T18:21:29Z</dcterms:modified>
</cp:coreProperties>
</file>